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MPAGNE 26-27\ACHAT\ETAT CV 26-27\"/>
    </mc:Choice>
  </mc:AlternateContent>
  <xr:revisionPtr revIDLastSave="0" documentId="13_ncr:1_{96588564-5649-441F-A7CB-94956FAC7F34}" xr6:coauthVersionLast="47" xr6:coauthVersionMax="47" xr10:uidLastSave="{00000000-0000-0000-0000-000000000000}"/>
  <bookViews>
    <workbookView xWindow="-108" yWindow="-108" windowWidth="23256" windowHeight="12456" firstSheet="1" activeTab="1" xr2:uid="{34B11C03-9A79-48F0-A706-49AAA0AE5675}"/>
  </bookViews>
  <sheets>
    <sheet name="Récap" sheetId="1" state="hidden" r:id="rId1"/>
    <sheet name="ETAT CV 26-27" sheetId="4" r:id="rId2"/>
    <sheet name="BASE" sheetId="3" r:id="rId3"/>
    <sheet name="Récap (3)" sheetId="5" state="hidden" r:id="rId4"/>
  </sheets>
  <definedNames>
    <definedName name="_xlnm._FilterDatabase" localSheetId="2" hidden="1">BASE!$A$1:$H$49</definedName>
    <definedName name="_xlnm._FilterDatabase" localSheetId="1" hidden="1">'ETAT CV 26-27'!$C$6:$T$51</definedName>
    <definedName name="_xlnm._FilterDatabase" localSheetId="0" hidden="1">Récap!$C$6:$T$48</definedName>
    <definedName name="_xlnm._FilterDatabase" localSheetId="3" hidden="1">'Récap (3)'!$C$6:$T$63</definedName>
    <definedName name="_xlnm.Print_Area" localSheetId="2">BASE!$B$5:$H$49</definedName>
    <definedName name="_xlnm.Print_Area" localSheetId="1">'ETAT CV 26-27'!$A$1:$U$47</definedName>
    <definedName name="_xlnm.Print_Area" localSheetId="0">Récap!$A$1:$U$44</definedName>
    <definedName name="_xlnm.Print_Area" localSheetId="3">'Récap (3)'!$A$1:$U$51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4" l="1"/>
  <c r="P17" i="4"/>
  <c r="Q17" i="4" s="1"/>
  <c r="P18" i="4"/>
  <c r="P19" i="4"/>
  <c r="P20" i="4"/>
  <c r="P21" i="4"/>
  <c r="P22" i="4"/>
  <c r="P23" i="4"/>
  <c r="Q23" i="4" s="1"/>
  <c r="P24" i="4"/>
  <c r="P25" i="4"/>
  <c r="P26" i="4"/>
  <c r="Q18" i="4"/>
  <c r="Q19" i="4"/>
  <c r="Q20" i="4"/>
  <c r="Q21" i="4"/>
  <c r="Q22" i="4"/>
  <c r="Q24" i="4"/>
  <c r="Q25" i="4"/>
  <c r="Q26" i="4"/>
  <c r="I16" i="4"/>
  <c r="I51" i="4"/>
  <c r="I50" i="4"/>
  <c r="I49" i="4"/>
  <c r="I48" i="4"/>
  <c r="I47" i="4"/>
  <c r="I46" i="4"/>
  <c r="I45" i="4"/>
  <c r="I44" i="4"/>
  <c r="I43" i="4"/>
  <c r="I42" i="4"/>
  <c r="I41" i="4"/>
  <c r="I40" i="4"/>
  <c r="I39" i="4"/>
  <c r="I38" i="4"/>
  <c r="I37" i="4"/>
  <c r="I36" i="4"/>
  <c r="I35" i="4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4" i="4"/>
  <c r="S45" i="4"/>
  <c r="S46" i="4"/>
  <c r="S47" i="4"/>
  <c r="S48" i="4"/>
  <c r="S49" i="4"/>
  <c r="S50" i="4"/>
  <c r="S51" i="4"/>
  <c r="S17" i="4"/>
  <c r="S16" i="4"/>
  <c r="S8" i="4"/>
  <c r="N63" i="5"/>
  <c r="M63" i="5"/>
  <c r="I63" i="5"/>
  <c r="N62" i="5"/>
  <c r="M62" i="5"/>
  <c r="I62" i="5"/>
  <c r="N61" i="5"/>
  <c r="M61" i="5"/>
  <c r="I61" i="5"/>
  <c r="N60" i="5"/>
  <c r="M60" i="5"/>
  <c r="I60" i="5"/>
  <c r="N59" i="5"/>
  <c r="M59" i="5"/>
  <c r="I59" i="5"/>
  <c r="N58" i="5"/>
  <c r="M58" i="5"/>
  <c r="I58" i="5"/>
  <c r="N57" i="5"/>
  <c r="M57" i="5"/>
  <c r="I57" i="5"/>
  <c r="N56" i="5"/>
  <c r="M56" i="5"/>
  <c r="I56" i="5"/>
  <c r="N55" i="5"/>
  <c r="M55" i="5"/>
  <c r="I55" i="5"/>
  <c r="N54" i="5"/>
  <c r="O54" i="5" s="1"/>
  <c r="P54" i="5" s="1"/>
  <c r="Q54" i="5" s="1"/>
  <c r="M54" i="5"/>
  <c r="I54" i="5"/>
  <c r="N53" i="5"/>
  <c r="M53" i="5"/>
  <c r="I53" i="5"/>
  <c r="N52" i="5"/>
  <c r="M52" i="5"/>
  <c r="I52" i="5"/>
  <c r="N51" i="5"/>
  <c r="M51" i="5"/>
  <c r="I51" i="5"/>
  <c r="N50" i="5"/>
  <c r="M50" i="5"/>
  <c r="I50" i="5"/>
  <c r="N49" i="5"/>
  <c r="M49" i="5"/>
  <c r="I49" i="5"/>
  <c r="N48" i="5"/>
  <c r="M48" i="5"/>
  <c r="I48" i="5"/>
  <c r="N47" i="5"/>
  <c r="M47" i="5"/>
  <c r="I47" i="5"/>
  <c r="N46" i="5"/>
  <c r="M46" i="5"/>
  <c r="I46" i="5"/>
  <c r="N45" i="5"/>
  <c r="M45" i="5"/>
  <c r="I45" i="5"/>
  <c r="N44" i="5"/>
  <c r="M44" i="5"/>
  <c r="O44" i="5" s="1"/>
  <c r="P44" i="5" s="1"/>
  <c r="Q44" i="5" s="1"/>
  <c r="I44" i="5"/>
  <c r="N43" i="5"/>
  <c r="M43" i="5"/>
  <c r="I43" i="5"/>
  <c r="N42" i="5"/>
  <c r="M42" i="5"/>
  <c r="I42" i="5"/>
  <c r="N41" i="5"/>
  <c r="M41" i="5"/>
  <c r="I41" i="5"/>
  <c r="N40" i="5"/>
  <c r="M40" i="5"/>
  <c r="I40" i="5"/>
  <c r="N39" i="5"/>
  <c r="M39" i="5"/>
  <c r="I39" i="5"/>
  <c r="N38" i="5"/>
  <c r="M38" i="5"/>
  <c r="I38" i="5"/>
  <c r="N37" i="5"/>
  <c r="M37" i="5"/>
  <c r="I37" i="5"/>
  <c r="N36" i="5"/>
  <c r="M36" i="5"/>
  <c r="I36" i="5"/>
  <c r="N35" i="5"/>
  <c r="M35" i="5"/>
  <c r="I35" i="5"/>
  <c r="N34" i="5"/>
  <c r="M34" i="5"/>
  <c r="I34" i="5"/>
  <c r="N33" i="5"/>
  <c r="M33" i="5"/>
  <c r="I33" i="5"/>
  <c r="N32" i="5"/>
  <c r="M32" i="5"/>
  <c r="I32" i="5"/>
  <c r="N31" i="5"/>
  <c r="M31" i="5"/>
  <c r="I31" i="5"/>
  <c r="N20" i="5"/>
  <c r="M20" i="5"/>
  <c r="I20" i="5"/>
  <c r="N19" i="5"/>
  <c r="M19" i="5"/>
  <c r="I19" i="5"/>
  <c r="N18" i="5"/>
  <c r="M18" i="5"/>
  <c r="I18" i="5"/>
  <c r="N17" i="5"/>
  <c r="M17" i="5"/>
  <c r="I17" i="5"/>
  <c r="N16" i="5"/>
  <c r="M16" i="5"/>
  <c r="I16" i="5"/>
  <c r="N15" i="5"/>
  <c r="M15" i="5"/>
  <c r="I15" i="5"/>
  <c r="N14" i="5"/>
  <c r="M14" i="5"/>
  <c r="I14" i="5"/>
  <c r="N13" i="5"/>
  <c r="M13" i="5"/>
  <c r="I13" i="5"/>
  <c r="N12" i="5"/>
  <c r="M12" i="5"/>
  <c r="I12" i="5"/>
  <c r="N11" i="5"/>
  <c r="M11" i="5"/>
  <c r="I11" i="5"/>
  <c r="N10" i="5"/>
  <c r="M10" i="5"/>
  <c r="I10" i="5"/>
  <c r="O9" i="5"/>
  <c r="P9" i="5" s="1"/>
  <c r="N9" i="5"/>
  <c r="M9" i="5"/>
  <c r="Q9" i="5" s="1"/>
  <c r="I9" i="5"/>
  <c r="O8" i="5"/>
  <c r="P8" i="5" s="1"/>
  <c r="N8" i="5"/>
  <c r="M8" i="5"/>
  <c r="Q8" i="5" s="1"/>
  <c r="I8" i="5"/>
  <c r="E7" i="5"/>
  <c r="Q3" i="5"/>
  <c r="B2" i="5"/>
  <c r="E7" i="1"/>
  <c r="N51" i="4"/>
  <c r="M51" i="4"/>
  <c r="N50" i="4"/>
  <c r="M50" i="4"/>
  <c r="N49" i="4"/>
  <c r="M49" i="4"/>
  <c r="N48" i="4"/>
  <c r="M48" i="4"/>
  <c r="N47" i="4"/>
  <c r="M47" i="4"/>
  <c r="N46" i="4"/>
  <c r="M46" i="4"/>
  <c r="N45" i="4"/>
  <c r="M45" i="4"/>
  <c r="N44" i="4"/>
  <c r="M44" i="4"/>
  <c r="O44" i="4" s="1"/>
  <c r="P44" i="4" s="1"/>
  <c r="Q44" i="4" s="1"/>
  <c r="N43" i="4"/>
  <c r="M43" i="4"/>
  <c r="N42" i="4"/>
  <c r="M42" i="4"/>
  <c r="N41" i="4"/>
  <c r="M41" i="4"/>
  <c r="N40" i="4"/>
  <c r="M40" i="4"/>
  <c r="N39" i="4"/>
  <c r="M39" i="4"/>
  <c r="N38" i="4"/>
  <c r="M38" i="4"/>
  <c r="N37" i="4"/>
  <c r="M37" i="4"/>
  <c r="N36" i="4"/>
  <c r="M36" i="4"/>
  <c r="N35" i="4"/>
  <c r="M35" i="4"/>
  <c r="N34" i="4"/>
  <c r="M34" i="4"/>
  <c r="N33" i="4"/>
  <c r="M33" i="4"/>
  <c r="N32" i="4"/>
  <c r="M32" i="4"/>
  <c r="N31" i="4"/>
  <c r="M31" i="4"/>
  <c r="N30" i="4"/>
  <c r="M30" i="4"/>
  <c r="N29" i="4"/>
  <c r="M29" i="4"/>
  <c r="N28" i="4"/>
  <c r="M28" i="4"/>
  <c r="O28" i="4" s="1"/>
  <c r="P28" i="4" s="1"/>
  <c r="Q28" i="4" s="1"/>
  <c r="T28" i="4" s="1"/>
  <c r="N27" i="4"/>
  <c r="M27" i="4"/>
  <c r="N16" i="4"/>
  <c r="M16" i="4"/>
  <c r="N15" i="4"/>
  <c r="M15" i="4"/>
  <c r="I15" i="4"/>
  <c r="N14" i="4"/>
  <c r="M14" i="4"/>
  <c r="I14" i="4"/>
  <c r="N13" i="4"/>
  <c r="M13" i="4"/>
  <c r="I13" i="4"/>
  <c r="N12" i="4"/>
  <c r="M12" i="4"/>
  <c r="I12" i="4"/>
  <c r="N11" i="4"/>
  <c r="M11" i="4"/>
  <c r="I11" i="4"/>
  <c r="N10" i="4"/>
  <c r="M10" i="4"/>
  <c r="I10" i="4"/>
  <c r="N9" i="4"/>
  <c r="M9" i="4"/>
  <c r="O9" i="4" s="1"/>
  <c r="P9" i="4" s="1"/>
  <c r="Q9" i="4" s="1"/>
  <c r="I9" i="4"/>
  <c r="N8" i="4"/>
  <c r="M8" i="4"/>
  <c r="O8" i="4" s="1"/>
  <c r="P8" i="4" s="1"/>
  <c r="Q8" i="4" s="1"/>
  <c r="E7" i="4"/>
  <c r="Q3" i="4"/>
  <c r="B2" i="4"/>
  <c r="N38" i="1"/>
  <c r="M38" i="1"/>
  <c r="I38" i="1"/>
  <c r="N37" i="1"/>
  <c r="M37" i="1"/>
  <c r="I37" i="1"/>
  <c r="N36" i="1"/>
  <c r="M36" i="1"/>
  <c r="O36" i="1" s="1"/>
  <c r="P36" i="1" s="1"/>
  <c r="Q36" i="1" s="1"/>
  <c r="I36" i="1"/>
  <c r="N35" i="1"/>
  <c r="M35" i="1"/>
  <c r="I35" i="1"/>
  <c r="N34" i="1"/>
  <c r="M34" i="1"/>
  <c r="I34" i="1"/>
  <c r="N33" i="1"/>
  <c r="M33" i="1"/>
  <c r="I33" i="1"/>
  <c r="H49" i="3"/>
  <c r="G49" i="3"/>
  <c r="H24" i="3"/>
  <c r="G24" i="3"/>
  <c r="H2" i="3"/>
  <c r="G2" i="3"/>
  <c r="N43" i="1"/>
  <c r="M43" i="1"/>
  <c r="I43" i="1"/>
  <c r="N42" i="1"/>
  <c r="M42" i="1"/>
  <c r="I42" i="1"/>
  <c r="N41" i="1"/>
  <c r="M41" i="1"/>
  <c r="I41" i="1"/>
  <c r="N40" i="1"/>
  <c r="M40" i="1"/>
  <c r="O40" i="1" s="1"/>
  <c r="P40" i="1" s="1"/>
  <c r="Q40" i="1" s="1"/>
  <c r="I40" i="1"/>
  <c r="N39" i="1"/>
  <c r="M39" i="1"/>
  <c r="I39" i="1"/>
  <c r="N32" i="1"/>
  <c r="M32" i="1"/>
  <c r="I32" i="1"/>
  <c r="N31" i="1"/>
  <c r="M31" i="1"/>
  <c r="O31" i="1" s="1"/>
  <c r="P31" i="1" s="1"/>
  <c r="I31" i="1"/>
  <c r="N30" i="1"/>
  <c r="M30" i="1"/>
  <c r="I30" i="1"/>
  <c r="N29" i="1"/>
  <c r="M29" i="1"/>
  <c r="O29" i="1" s="1"/>
  <c r="P29" i="1" s="1"/>
  <c r="I29" i="1"/>
  <c r="N28" i="1"/>
  <c r="M28" i="1"/>
  <c r="I28" i="1"/>
  <c r="N27" i="1"/>
  <c r="M27" i="1"/>
  <c r="I27" i="1"/>
  <c r="N26" i="1"/>
  <c r="M26" i="1"/>
  <c r="I26" i="1"/>
  <c r="N48" i="1"/>
  <c r="M48" i="1"/>
  <c r="I48" i="1"/>
  <c r="N47" i="1"/>
  <c r="M47" i="1"/>
  <c r="I47" i="1"/>
  <c r="N46" i="1"/>
  <c r="M46" i="1"/>
  <c r="I46" i="1"/>
  <c r="N45" i="1"/>
  <c r="M45" i="1"/>
  <c r="I45" i="1"/>
  <c r="N44" i="1"/>
  <c r="M44" i="1"/>
  <c r="I44" i="1"/>
  <c r="N25" i="1"/>
  <c r="M25" i="1"/>
  <c r="I25" i="1"/>
  <c r="N24" i="1"/>
  <c r="M24" i="1"/>
  <c r="I24" i="1"/>
  <c r="T44" i="4" l="1"/>
  <c r="T23" i="4"/>
  <c r="T17" i="4"/>
  <c r="T18" i="4"/>
  <c r="T19" i="4"/>
  <c r="T20" i="4"/>
  <c r="T21" i="4"/>
  <c r="T22" i="4"/>
  <c r="T24" i="4"/>
  <c r="T25" i="4"/>
  <c r="T26" i="4"/>
  <c r="O63" i="5"/>
  <c r="P63" i="5" s="1"/>
  <c r="Q63" i="5" s="1"/>
  <c r="O62" i="5"/>
  <c r="P62" i="5" s="1"/>
  <c r="Q62" i="5" s="1"/>
  <c r="O61" i="5"/>
  <c r="P61" i="5" s="1"/>
  <c r="Q61" i="5" s="1"/>
  <c r="O60" i="5"/>
  <c r="P60" i="5" s="1"/>
  <c r="Q60" i="5"/>
  <c r="O59" i="5"/>
  <c r="P59" i="5" s="1"/>
  <c r="Q59" i="5" s="1"/>
  <c r="O58" i="5"/>
  <c r="P58" i="5" s="1"/>
  <c r="Q58" i="5" s="1"/>
  <c r="O57" i="5"/>
  <c r="P57" i="5" s="1"/>
  <c r="Q57" i="5" s="1"/>
  <c r="O56" i="5"/>
  <c r="P56" i="5" s="1"/>
  <c r="Q56" i="5" s="1"/>
  <c r="O55" i="5"/>
  <c r="P55" i="5" s="1"/>
  <c r="Q55" i="5" s="1"/>
  <c r="T55" i="5" s="1"/>
  <c r="O53" i="5"/>
  <c r="P53" i="5" s="1"/>
  <c r="Q53" i="5" s="1"/>
  <c r="O52" i="5"/>
  <c r="P52" i="5" s="1"/>
  <c r="Q52" i="5" s="1"/>
  <c r="O51" i="5"/>
  <c r="P51" i="5" s="1"/>
  <c r="Q51" i="5" s="1"/>
  <c r="O50" i="5"/>
  <c r="P50" i="5" s="1"/>
  <c r="Q50" i="5"/>
  <c r="O49" i="5"/>
  <c r="P49" i="5" s="1"/>
  <c r="Q49" i="5" s="1"/>
  <c r="O48" i="5"/>
  <c r="P48" i="5" s="1"/>
  <c r="Q48" i="5" s="1"/>
  <c r="O47" i="5"/>
  <c r="P47" i="5" s="1"/>
  <c r="Q47" i="5" s="1"/>
  <c r="O46" i="5"/>
  <c r="P46" i="5" s="1"/>
  <c r="Q46" i="5" s="1"/>
  <c r="O45" i="5"/>
  <c r="P45" i="5" s="1"/>
  <c r="Q45" i="5" s="1"/>
  <c r="O43" i="5"/>
  <c r="P43" i="5" s="1"/>
  <c r="Q43" i="5" s="1"/>
  <c r="O42" i="5"/>
  <c r="P42" i="5" s="1"/>
  <c r="Q42" i="5" s="1"/>
  <c r="O41" i="5"/>
  <c r="P41" i="5" s="1"/>
  <c r="Q41" i="5" s="1"/>
  <c r="O40" i="5"/>
  <c r="P40" i="5" s="1"/>
  <c r="Q40" i="5" s="1"/>
  <c r="O39" i="5"/>
  <c r="P39" i="5" s="1"/>
  <c r="Q39" i="5" s="1"/>
  <c r="O38" i="5"/>
  <c r="P38" i="5" s="1"/>
  <c r="Q38" i="5" s="1"/>
  <c r="O37" i="5"/>
  <c r="P37" i="5" s="1"/>
  <c r="Q37" i="5" s="1"/>
  <c r="O36" i="5"/>
  <c r="P36" i="5" s="1"/>
  <c r="Q36" i="5" s="1"/>
  <c r="O35" i="5"/>
  <c r="P35" i="5" s="1"/>
  <c r="Q35" i="5" s="1"/>
  <c r="T35" i="5" s="1"/>
  <c r="O34" i="5"/>
  <c r="P34" i="5" s="1"/>
  <c r="Q34" i="5"/>
  <c r="O33" i="5"/>
  <c r="P33" i="5" s="1"/>
  <c r="Q33" i="5" s="1"/>
  <c r="O32" i="5"/>
  <c r="P32" i="5" s="1"/>
  <c r="Q32" i="5" s="1"/>
  <c r="O31" i="5"/>
  <c r="P31" i="5" s="1"/>
  <c r="Q31" i="5" s="1"/>
  <c r="O20" i="5"/>
  <c r="P20" i="5" s="1"/>
  <c r="Q20" i="5" s="1"/>
  <c r="O19" i="5"/>
  <c r="P19" i="5" s="1"/>
  <c r="Q19" i="5" s="1"/>
  <c r="O18" i="5"/>
  <c r="P18" i="5" s="1"/>
  <c r="Q18" i="5" s="1"/>
  <c r="O17" i="5"/>
  <c r="P17" i="5" s="1"/>
  <c r="Q17" i="5" s="1"/>
  <c r="O16" i="5"/>
  <c r="P16" i="5" s="1"/>
  <c r="Q16" i="5" s="1"/>
  <c r="O15" i="5"/>
  <c r="P15" i="5" s="1"/>
  <c r="Q15" i="5" s="1"/>
  <c r="T15" i="5" s="1"/>
  <c r="O14" i="5"/>
  <c r="P14" i="5" s="1"/>
  <c r="Q14" i="5" s="1"/>
  <c r="O13" i="5"/>
  <c r="P13" i="5" s="1"/>
  <c r="Q13" i="5" s="1"/>
  <c r="O12" i="5"/>
  <c r="P12" i="5" s="1"/>
  <c r="Q12" i="5" s="1"/>
  <c r="O11" i="5"/>
  <c r="P11" i="5" s="1"/>
  <c r="Q11" i="5" s="1"/>
  <c r="T11" i="5" s="1"/>
  <c r="O10" i="5"/>
  <c r="P10" i="5" s="1"/>
  <c r="Q10" i="5" s="1"/>
  <c r="T10" i="5" s="1"/>
  <c r="S19" i="5"/>
  <c r="S8" i="5"/>
  <c r="T8" i="5" s="1"/>
  <c r="S53" i="5"/>
  <c r="S52" i="5"/>
  <c r="S7" i="5"/>
  <c r="S51" i="5"/>
  <c r="S43" i="5"/>
  <c r="S50" i="5"/>
  <c r="S49" i="5"/>
  <c r="S42" i="5"/>
  <c r="S48" i="5"/>
  <c r="S47" i="5"/>
  <c r="S41" i="5"/>
  <c r="S46" i="5"/>
  <c r="S63" i="5"/>
  <c r="S40" i="5"/>
  <c r="S62" i="5"/>
  <c r="S45" i="5"/>
  <c r="S39" i="5"/>
  <c r="S61" i="5"/>
  <c r="S60" i="5"/>
  <c r="S38" i="5"/>
  <c r="S44" i="5"/>
  <c r="T44" i="5" s="1"/>
  <c r="S59" i="5"/>
  <c r="S37" i="5"/>
  <c r="S58" i="5"/>
  <c r="S57" i="5"/>
  <c r="S36" i="5"/>
  <c r="S34" i="5"/>
  <c r="S35" i="5"/>
  <c r="S56" i="5"/>
  <c r="S55" i="5"/>
  <c r="S54" i="5"/>
  <c r="T54" i="5" s="1"/>
  <c r="S18" i="5"/>
  <c r="S33" i="5"/>
  <c r="S16" i="5"/>
  <c r="S17" i="5"/>
  <c r="S32" i="5"/>
  <c r="S31" i="5"/>
  <c r="S14" i="5"/>
  <c r="S15" i="5"/>
  <c r="S13" i="5"/>
  <c r="S20" i="5"/>
  <c r="S12" i="5"/>
  <c r="S11" i="5"/>
  <c r="S10" i="5"/>
  <c r="S9" i="5"/>
  <c r="T9" i="5" s="1"/>
  <c r="O51" i="4"/>
  <c r="P51" i="4" s="1"/>
  <c r="Q51" i="4" s="1"/>
  <c r="T51" i="4" s="1"/>
  <c r="O50" i="4"/>
  <c r="P50" i="4" s="1"/>
  <c r="Q50" i="4" s="1"/>
  <c r="T50" i="4" s="1"/>
  <c r="O49" i="4"/>
  <c r="P49" i="4" s="1"/>
  <c r="Q49" i="4" s="1"/>
  <c r="T49" i="4" s="1"/>
  <c r="O48" i="4"/>
  <c r="P48" i="4" s="1"/>
  <c r="Q48" i="4" s="1"/>
  <c r="T48" i="4" s="1"/>
  <c r="O47" i="4"/>
  <c r="P47" i="4" s="1"/>
  <c r="Q47" i="4" s="1"/>
  <c r="T47" i="4" s="1"/>
  <c r="O46" i="4"/>
  <c r="P46" i="4" s="1"/>
  <c r="Q46" i="4" s="1"/>
  <c r="T46" i="4" s="1"/>
  <c r="O45" i="4"/>
  <c r="P45" i="4" s="1"/>
  <c r="Q45" i="4" s="1"/>
  <c r="T45" i="4" s="1"/>
  <c r="O43" i="4"/>
  <c r="P43" i="4" s="1"/>
  <c r="Q43" i="4" s="1"/>
  <c r="T43" i="4" s="1"/>
  <c r="O42" i="4"/>
  <c r="P42" i="4" s="1"/>
  <c r="Q42" i="4" s="1"/>
  <c r="T42" i="4" s="1"/>
  <c r="O41" i="4"/>
  <c r="P41" i="4" s="1"/>
  <c r="Q41" i="4" s="1"/>
  <c r="T41" i="4" s="1"/>
  <c r="O40" i="4"/>
  <c r="P40" i="4" s="1"/>
  <c r="Q40" i="4" s="1"/>
  <c r="T40" i="4" s="1"/>
  <c r="O39" i="4"/>
  <c r="P39" i="4" s="1"/>
  <c r="Q39" i="4" s="1"/>
  <c r="T39" i="4" s="1"/>
  <c r="O38" i="4"/>
  <c r="P38" i="4" s="1"/>
  <c r="Q38" i="4" s="1"/>
  <c r="T38" i="4" s="1"/>
  <c r="O37" i="4"/>
  <c r="P37" i="4" s="1"/>
  <c r="Q37" i="4" s="1"/>
  <c r="T37" i="4" s="1"/>
  <c r="O36" i="4"/>
  <c r="P36" i="4" s="1"/>
  <c r="Q36" i="4" s="1"/>
  <c r="T36" i="4" s="1"/>
  <c r="O35" i="4"/>
  <c r="P35" i="4" s="1"/>
  <c r="Q35" i="4" s="1"/>
  <c r="T35" i="4" s="1"/>
  <c r="O34" i="4"/>
  <c r="P34" i="4" s="1"/>
  <c r="Q34" i="4" s="1"/>
  <c r="T34" i="4" s="1"/>
  <c r="O33" i="4"/>
  <c r="P33" i="4" s="1"/>
  <c r="Q33" i="4" s="1"/>
  <c r="T33" i="4" s="1"/>
  <c r="O32" i="4"/>
  <c r="P32" i="4" s="1"/>
  <c r="Q32" i="4" s="1"/>
  <c r="T32" i="4" s="1"/>
  <c r="O31" i="4"/>
  <c r="P31" i="4" s="1"/>
  <c r="Q31" i="4" s="1"/>
  <c r="T31" i="4" s="1"/>
  <c r="O30" i="4"/>
  <c r="P30" i="4" s="1"/>
  <c r="Q30" i="4" s="1"/>
  <c r="T30" i="4" s="1"/>
  <c r="O29" i="4"/>
  <c r="P29" i="4" s="1"/>
  <c r="Q29" i="4" s="1"/>
  <c r="T29" i="4" s="1"/>
  <c r="O27" i="4"/>
  <c r="P27" i="4" s="1"/>
  <c r="Q27" i="4" s="1"/>
  <c r="T27" i="4" s="1"/>
  <c r="O16" i="4"/>
  <c r="P16" i="4" s="1"/>
  <c r="Q16" i="4" s="1"/>
  <c r="O15" i="4"/>
  <c r="P15" i="4" s="1"/>
  <c r="Q15" i="4" s="1"/>
  <c r="O14" i="4"/>
  <c r="P14" i="4" s="1"/>
  <c r="Q14" i="4" s="1"/>
  <c r="O13" i="4"/>
  <c r="P13" i="4" s="1"/>
  <c r="Q13" i="4" s="1"/>
  <c r="O12" i="4"/>
  <c r="P12" i="4" s="1"/>
  <c r="Q12" i="4" s="1"/>
  <c r="O11" i="4"/>
  <c r="P11" i="4" s="1"/>
  <c r="Q11" i="4" s="1"/>
  <c r="O10" i="4"/>
  <c r="P10" i="4" s="1"/>
  <c r="Q10" i="4" s="1"/>
  <c r="S7" i="4"/>
  <c r="S9" i="4"/>
  <c r="T9" i="4" s="1"/>
  <c r="S11" i="4"/>
  <c r="S15" i="4"/>
  <c r="S14" i="4"/>
  <c r="S13" i="4"/>
  <c r="S12" i="4"/>
  <c r="S10" i="4"/>
  <c r="O30" i="1"/>
  <c r="P30" i="1" s="1"/>
  <c r="Q30" i="1" s="1"/>
  <c r="O34" i="1"/>
  <c r="P34" i="1" s="1"/>
  <c r="Q34" i="1" s="1"/>
  <c r="O38" i="1"/>
  <c r="P38" i="1" s="1"/>
  <c r="Q38" i="1" s="1"/>
  <c r="O37" i="1"/>
  <c r="P37" i="1" s="1"/>
  <c r="Q37" i="1" s="1"/>
  <c r="O35" i="1"/>
  <c r="P35" i="1" s="1"/>
  <c r="Q35" i="1" s="1"/>
  <c r="O33" i="1"/>
  <c r="P33" i="1" s="1"/>
  <c r="Q33" i="1" s="1"/>
  <c r="Q31" i="1"/>
  <c r="Q29" i="1"/>
  <c r="O43" i="1"/>
  <c r="P43" i="1" s="1"/>
  <c r="Q43" i="1" s="1"/>
  <c r="O42" i="1"/>
  <c r="P42" i="1" s="1"/>
  <c r="Q42" i="1" s="1"/>
  <c r="O41" i="1"/>
  <c r="P41" i="1" s="1"/>
  <c r="Q41" i="1" s="1"/>
  <c r="O39" i="1"/>
  <c r="P39" i="1" s="1"/>
  <c r="Q39" i="1" s="1"/>
  <c r="O32" i="1"/>
  <c r="P32" i="1" s="1"/>
  <c r="Q32" i="1" s="1"/>
  <c r="O28" i="1"/>
  <c r="P28" i="1" s="1"/>
  <c r="Q28" i="1" s="1"/>
  <c r="O27" i="1"/>
  <c r="P27" i="1" s="1"/>
  <c r="Q27" i="1" s="1"/>
  <c r="O26" i="1"/>
  <c r="P26" i="1" s="1"/>
  <c r="Q26" i="1" s="1"/>
  <c r="O47" i="1"/>
  <c r="P47" i="1" s="1"/>
  <c r="Q47" i="1" s="1"/>
  <c r="O45" i="1"/>
  <c r="P45" i="1" s="1"/>
  <c r="Q45" i="1" s="1"/>
  <c r="O48" i="1"/>
  <c r="P48" i="1" s="1"/>
  <c r="Q48" i="1" s="1"/>
  <c r="O44" i="1"/>
  <c r="P44" i="1" s="1"/>
  <c r="Q44" i="1" s="1"/>
  <c r="O46" i="1"/>
  <c r="P46" i="1" s="1"/>
  <c r="Q46" i="1" s="1"/>
  <c r="O24" i="1"/>
  <c r="P24" i="1" s="1"/>
  <c r="Q24" i="1" s="1"/>
  <c r="O25" i="1"/>
  <c r="P25" i="1" s="1"/>
  <c r="Q25" i="1" s="1"/>
  <c r="T13" i="4" l="1"/>
  <c r="T16" i="4"/>
  <c r="T15" i="4"/>
  <c r="T14" i="4"/>
  <c r="T12" i="4"/>
  <c r="T11" i="4"/>
  <c r="T10" i="4"/>
  <c r="T19" i="5"/>
  <c r="T53" i="5"/>
  <c r="T52" i="5"/>
  <c r="T51" i="5"/>
  <c r="T43" i="5"/>
  <c r="T50" i="5"/>
  <c r="T49" i="5"/>
  <c r="T42" i="5"/>
  <c r="T48" i="5"/>
  <c r="T47" i="5"/>
  <c r="T41" i="5"/>
  <c r="T46" i="5"/>
  <c r="T63" i="5"/>
  <c r="T40" i="5"/>
  <c r="T62" i="5"/>
  <c r="T45" i="5"/>
  <c r="T39" i="5"/>
  <c r="T61" i="5"/>
  <c r="T60" i="5"/>
  <c r="T38" i="5"/>
  <c r="T59" i="5"/>
  <c r="T37" i="5"/>
  <c r="T58" i="5"/>
  <c r="T57" i="5"/>
  <c r="T36" i="5"/>
  <c r="T34" i="5"/>
  <c r="T18" i="5"/>
  <c r="T16" i="5"/>
  <c r="T32" i="5"/>
  <c r="T14" i="5"/>
  <c r="T13" i="5"/>
  <c r="T12" i="5"/>
  <c r="T56" i="5"/>
  <c r="T33" i="5"/>
  <c r="T17" i="5"/>
  <c r="T31" i="5"/>
  <c r="T20" i="5"/>
  <c r="T8" i="4"/>
  <c r="N14" i="1"/>
  <c r="M14" i="1"/>
  <c r="I14" i="1"/>
  <c r="N13" i="1"/>
  <c r="M13" i="1"/>
  <c r="I13" i="1"/>
  <c r="N12" i="1"/>
  <c r="M12" i="1"/>
  <c r="I12" i="1"/>
  <c r="N11" i="1"/>
  <c r="M11" i="1"/>
  <c r="I11" i="1"/>
  <c r="N10" i="1"/>
  <c r="M10" i="1"/>
  <c r="I10" i="1"/>
  <c r="N9" i="1"/>
  <c r="M9" i="1"/>
  <c r="I9" i="1"/>
  <c r="N8" i="1"/>
  <c r="M8" i="1"/>
  <c r="O8" i="1" s="1"/>
  <c r="I8" i="1"/>
  <c r="Q3" i="1"/>
  <c r="B2" i="1"/>
  <c r="S38" i="1" l="1"/>
  <c r="T38" i="1" s="1"/>
  <c r="S37" i="1"/>
  <c r="T37" i="1" s="1"/>
  <c r="S36" i="1"/>
  <c r="T36" i="1" s="1"/>
  <c r="S35" i="1"/>
  <c r="T35" i="1" s="1"/>
  <c r="S34" i="1"/>
  <c r="T34" i="1" s="1"/>
  <c r="S33" i="1"/>
  <c r="T33" i="1" s="1"/>
  <c r="S43" i="1"/>
  <c r="T43" i="1" s="1"/>
  <c r="S41" i="1"/>
  <c r="T41" i="1" s="1"/>
  <c r="S40" i="1"/>
  <c r="T40" i="1" s="1"/>
  <c r="S30" i="1"/>
  <c r="T30" i="1" s="1"/>
  <c r="S42" i="1"/>
  <c r="T42" i="1" s="1"/>
  <c r="S27" i="1"/>
  <c r="T27" i="1" s="1"/>
  <c r="S39" i="1"/>
  <c r="T39" i="1" s="1"/>
  <c r="S32" i="1"/>
  <c r="T32" i="1" s="1"/>
  <c r="S31" i="1"/>
  <c r="T31" i="1" s="1"/>
  <c r="S28" i="1"/>
  <c r="T28" i="1" s="1"/>
  <c r="S26" i="1"/>
  <c r="T26" i="1" s="1"/>
  <c r="S29" i="1"/>
  <c r="T29" i="1" s="1"/>
  <c r="S7" i="1"/>
  <c r="S8" i="1"/>
  <c r="S47" i="1"/>
  <c r="T47" i="1" s="1"/>
  <c r="S46" i="1"/>
  <c r="T46" i="1" s="1"/>
  <c r="S45" i="1"/>
  <c r="T45" i="1" s="1"/>
  <c r="S44" i="1"/>
  <c r="T44" i="1" s="1"/>
  <c r="S25" i="1"/>
  <c r="T25" i="1" s="1"/>
  <c r="S24" i="1"/>
  <c r="T24" i="1" s="1"/>
  <c r="S48" i="1"/>
  <c r="T48" i="1" s="1"/>
  <c r="O14" i="1"/>
  <c r="P14" i="1" s="1"/>
  <c r="Q14" i="1" s="1"/>
  <c r="O12" i="1"/>
  <c r="P12" i="1" s="1"/>
  <c r="Q12" i="1" s="1"/>
  <c r="O10" i="1"/>
  <c r="P10" i="1" s="1"/>
  <c r="Q10" i="1" s="1"/>
  <c r="P8" i="1"/>
  <c r="Q8" i="1" s="1"/>
  <c r="O13" i="1"/>
  <c r="P13" i="1" s="1"/>
  <c r="Q13" i="1" s="1"/>
  <c r="O11" i="1"/>
  <c r="P11" i="1" s="1"/>
  <c r="Q11" i="1" s="1"/>
  <c r="O9" i="1"/>
  <c r="P9" i="1" s="1"/>
  <c r="Q9" i="1" s="1"/>
  <c r="S9" i="1"/>
  <c r="S10" i="1"/>
  <c r="S11" i="1"/>
  <c r="S12" i="1"/>
  <c r="S13" i="1"/>
  <c r="S14" i="1"/>
  <c r="T10" i="1" l="1"/>
  <c r="T13" i="1"/>
  <c r="T14" i="1"/>
  <c r="T8" i="1"/>
  <c r="T12" i="1"/>
  <c r="T11" i="1"/>
  <c r="T9" i="1"/>
</calcChain>
</file>

<file path=xl/sharedStrings.xml><?xml version="1.0" encoding="utf-8"?>
<sst xmlns="http://schemas.openxmlformats.org/spreadsheetml/2006/main" count="764" uniqueCount="101">
  <si>
    <t>Montant Frs/kg</t>
  </si>
  <si>
    <t>NUMERO DE CV</t>
  </si>
  <si>
    <t xml:space="preserve">Volume </t>
  </si>
  <si>
    <t>Période d'exécution</t>
  </si>
  <si>
    <t>Px CAF de ref</t>
  </si>
  <si>
    <t xml:space="preserve"> Prix CAF CV (FCFA/Kg)</t>
  </si>
  <si>
    <t>Reversement /Soutien</t>
  </si>
  <si>
    <t>Fret</t>
  </si>
  <si>
    <t>Surveillance</t>
  </si>
  <si>
    <r>
      <t xml:space="preserve">Assurance maritime </t>
    </r>
    <r>
      <rPr>
        <b/>
        <sz val="11"/>
        <color rgb="FFFF0000"/>
        <rFont val="Comic Sans MS"/>
        <family val="4"/>
      </rPr>
      <t>(a)</t>
    </r>
  </si>
  <si>
    <t>Freinte maritime</t>
  </si>
  <si>
    <t>COUT de CAF à FOB  (FCFA/Kg)</t>
  </si>
  <si>
    <r>
      <t>Prix FOB (FCFA/Kg)</t>
    </r>
    <r>
      <rPr>
        <b/>
        <sz val="11"/>
        <color rgb="FF0070C0"/>
        <rFont val="Comic Sans MS"/>
        <family val="4"/>
      </rPr>
      <t xml:space="preserve"> (b)</t>
    </r>
  </si>
  <si>
    <r>
      <t>Prix FOB  +assur maritime</t>
    </r>
    <r>
      <rPr>
        <b/>
        <sz val="11"/>
        <color rgb="FF0070C0"/>
        <rFont val="Comic Sans MS"/>
        <family val="4"/>
      </rPr>
      <t xml:space="preserve"> (c=a+b)</t>
    </r>
    <r>
      <rPr>
        <b/>
        <sz val="11"/>
        <rFont val="Comic Sans MS"/>
        <family val="4"/>
      </rPr>
      <t xml:space="preserve"> (FCFA/Kg)</t>
    </r>
  </si>
  <si>
    <t>Prix FOB client      en €</t>
  </si>
  <si>
    <r>
      <t xml:space="preserve">Prix FOB client (FCFA/Kg) </t>
    </r>
    <r>
      <rPr>
        <b/>
        <sz val="11"/>
        <color rgb="FF0070C0"/>
        <rFont val="Comic Sans MS"/>
        <family val="4"/>
      </rPr>
      <t xml:space="preserve"> (d)</t>
    </r>
  </si>
  <si>
    <r>
      <t xml:space="preserve">diiff      </t>
    </r>
    <r>
      <rPr>
        <b/>
        <sz val="11"/>
        <color rgb="FF0070C0"/>
        <rFont val="Comic Sans MS"/>
        <family val="4"/>
      </rPr>
      <t xml:space="preserve"> (d) - (c )</t>
    </r>
  </si>
  <si>
    <t xml:space="preserve">Reversement </t>
  </si>
  <si>
    <t>ASCOT</t>
  </si>
  <si>
    <t>SUCDEN</t>
  </si>
  <si>
    <t>TOTAL</t>
  </si>
  <si>
    <t>009-2094</t>
  </si>
  <si>
    <t>009-2095</t>
  </si>
  <si>
    <t>009-2096</t>
  </si>
  <si>
    <t>009-2097</t>
  </si>
  <si>
    <t>OD</t>
  </si>
  <si>
    <t>WESTAF</t>
  </si>
  <si>
    <t>JM</t>
  </si>
  <si>
    <t>009-2110</t>
  </si>
  <si>
    <t>009-2111</t>
  </si>
  <si>
    <t>009-2112</t>
  </si>
  <si>
    <t>009-2113</t>
  </si>
  <si>
    <t>009-2114</t>
  </si>
  <si>
    <t>009-2115</t>
  </si>
  <si>
    <t>009-2116</t>
  </si>
  <si>
    <t>009-2117</t>
  </si>
  <si>
    <t>Soutien</t>
  </si>
  <si>
    <t>ACT International</t>
  </si>
  <si>
    <t>009-2143</t>
  </si>
  <si>
    <t>009-2144</t>
  </si>
  <si>
    <t>009-2145</t>
  </si>
  <si>
    <t>009-2146</t>
  </si>
  <si>
    <t>ETAT RECAPITULATIF DES CV 2026-2027 ECORIGINE</t>
  </si>
  <si>
    <t>009-2127</t>
  </si>
  <si>
    <t>009-2128</t>
  </si>
  <si>
    <t>009-2131</t>
  </si>
  <si>
    <t>009-2132</t>
  </si>
  <si>
    <t>CARGILL BV</t>
  </si>
  <si>
    <t>009-2119</t>
  </si>
  <si>
    <t>009-2123</t>
  </si>
  <si>
    <t>009-2124</t>
  </si>
  <si>
    <t>009-2125</t>
  </si>
  <si>
    <t>009-2126</t>
  </si>
  <si>
    <t>009-2129</t>
  </si>
  <si>
    <t>009-2130</t>
  </si>
  <si>
    <t>009-2147</t>
  </si>
  <si>
    <t>009-2148</t>
  </si>
  <si>
    <t>009-2153</t>
  </si>
  <si>
    <t>009-2154</t>
  </si>
  <si>
    <t>009-2155</t>
  </si>
  <si>
    <t>009-2156</t>
  </si>
  <si>
    <t>TOUTON</t>
  </si>
  <si>
    <t>OD26</t>
  </si>
  <si>
    <t>Numéro Cv Débloc</t>
  </si>
  <si>
    <t>Clients</t>
  </si>
  <si>
    <t>Date de déblocage</t>
  </si>
  <si>
    <t>Période</t>
  </si>
  <si>
    <t>Prix CAF (Déblocage CV) en FCFA</t>
  </si>
  <si>
    <t xml:space="preserve">Poids (en tonnes) </t>
  </si>
  <si>
    <t xml:space="preserve">Poids (en Kgs) </t>
  </si>
  <si>
    <t>2026/2027</t>
  </si>
  <si>
    <t>TOTAL GLOBAL</t>
  </si>
  <si>
    <t>O-D 26</t>
  </si>
  <si>
    <t>CARGILL</t>
  </si>
  <si>
    <t>TOTAL OD</t>
  </si>
  <si>
    <t>009-2120</t>
  </si>
  <si>
    <t>J-M 27</t>
  </si>
  <si>
    <t>009-2133</t>
  </si>
  <si>
    <t>009-2134</t>
  </si>
  <si>
    <t>009-2135</t>
  </si>
  <si>
    <t>009-2136</t>
  </si>
  <si>
    <t>009-2138</t>
  </si>
  <si>
    <t>009-2139</t>
  </si>
  <si>
    <t>009-2137</t>
  </si>
  <si>
    <t>009-2140</t>
  </si>
  <si>
    <t>009-2141</t>
  </si>
  <si>
    <t>009-2142</t>
  </si>
  <si>
    <t>009-2149</t>
  </si>
  <si>
    <t>009-2150</t>
  </si>
  <si>
    <t>009-2151</t>
  </si>
  <si>
    <t>009-2152</t>
  </si>
  <si>
    <t>009-2157</t>
  </si>
  <si>
    <t>009-2158</t>
  </si>
  <si>
    <t>009-2159</t>
  </si>
  <si>
    <t>009-2160</t>
  </si>
  <si>
    <t>009-2161</t>
  </si>
  <si>
    <t>009-2162</t>
  </si>
  <si>
    <t>009-2163</t>
  </si>
  <si>
    <t>009-2164</t>
  </si>
  <si>
    <t>TOTAL JM</t>
  </si>
  <si>
    <t>JM27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</si>
</sst>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164" formatCode="0.000%"/>
    <numFmt numFmtId="165" formatCode="#,##0&quot; T&quot;"/>
    <numFmt numFmtId="166" formatCode="_-* #,##0\ _F_-;\-* #,##0\ _F_-;_-* &quot;-&quot;??\ _F_-;_-@_-"/>
    <numFmt numFmtId="167" formatCode="_-* #,##0\ _€_-;\-* #,##0\ _€_-;_-* &quot;-&quot;??\ _€_-;_-@_-"/>
    <numFmt numFmtId="168" formatCode="_-* #,##0.0\ _€_-;\-* #,##0.0\ _€_-;_-* &quot;-&quot;??\ _€_-;_-@_-"/>
    <numFmt numFmtId="169" formatCode="_-* #,##0.0\ _F_-;\-* #,##0.0\ _F_-;_-* &quot;-&quot;??\ _F_-;_-@_-"/>
    <numFmt numFmtId="170" formatCode="_-* #,##0.00\ _F_-;\-* #,##0.00\ _F_-;_-* &quot;-&quot;??\ _F_-;_-@_-"/>
    <numFmt numFmtId="171" formatCode="_-* #,##0.00\ _€_-;\-* #,##0.00\ _€_-;_-* &quot;-&quot;??\ _€_-;_-@_-"/>
    <numFmt numFmtId="172" formatCode="dd/mm/yy;@"/>
    <numFmt numFmtId="173" formatCode="0.0000000000000000"/>
    <numFmt numFmtId="174" formatCode="_-* #,##0.000\ _€_-;\-* #,##0.000\ _€_-;_-* &quot;-&quot;??\ _€_-;_-@_-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color theme="1"/>
      <name val="Comic Sans MS"/>
      <family val="4"/>
    </font>
    <font>
      <sz val="10"/>
      <name val="Arial"/>
      <family val="2"/>
    </font>
    <font>
      <b/>
      <sz val="11"/>
      <name val="Comic Sans MS"/>
      <family val="4"/>
    </font>
    <font>
      <b/>
      <sz val="11"/>
      <color rgb="FFFF0000"/>
      <name val="Comic Sans MS"/>
      <family val="4"/>
    </font>
    <font>
      <b/>
      <sz val="11"/>
      <color rgb="FF0070C0"/>
      <name val="Comic Sans MS"/>
      <family val="4"/>
    </font>
    <font>
      <sz val="11"/>
      <name val="Comic Sans MS"/>
      <family val="4"/>
    </font>
    <font>
      <b/>
      <sz val="11"/>
      <color theme="4"/>
      <name val="Comic Sans MS"/>
      <family val="4"/>
    </font>
    <font>
      <b/>
      <sz val="11"/>
      <color theme="4" tint="-0.499984740745262"/>
      <name val="Comic Sans MS"/>
      <family val="4"/>
    </font>
    <font>
      <b/>
      <u/>
      <sz val="11"/>
      <name val="Comic Sans MS"/>
      <family val="4"/>
    </font>
    <font>
      <sz val="10"/>
      <color theme="1"/>
      <name val="Calibri"/>
      <family val="2"/>
      <scheme val="minor"/>
    </font>
    <font>
      <b/>
      <sz val="10"/>
      <color rgb="FF000000"/>
      <name val="Tahoma"/>
      <family val="2"/>
    </font>
    <font>
      <sz val="36"/>
      <color theme="1"/>
      <name val="Times New Roman"/>
      <family val="1"/>
    </font>
    <font>
      <b/>
      <sz val="16"/>
      <color rgb="FFFF0000"/>
      <name val="Calibri"/>
      <family val="2"/>
    </font>
    <font>
      <b/>
      <sz val="16"/>
      <color rgb="FFFF0000"/>
      <name val="Calibri"/>
      <family val="2"/>
      <scheme val="minor"/>
    </font>
    <font>
      <sz val="10"/>
      <name val="Calibri"/>
      <family val="2"/>
    </font>
    <font>
      <b/>
      <sz val="10"/>
      <name val="Calibri"/>
      <family val="2"/>
      <scheme val="minor"/>
    </font>
    <font>
      <sz val="10"/>
      <color rgb="FF000000"/>
      <name val="Calibri"/>
      <family val="2"/>
    </font>
    <font>
      <sz val="1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0"/>
      <color rgb="FFFF0000"/>
      <name val="Calibri"/>
      <family val="2"/>
    </font>
    <font>
      <b/>
      <sz val="11"/>
      <color rgb="FFFF0000"/>
      <name val="Calibri"/>
      <family val="2"/>
      <scheme val="minor"/>
    </font>
    <font>
      <b/>
      <sz val="12"/>
      <color rgb="FFFF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9" fillId="0" borderId="0"/>
    <xf numFmtId="9" fontId="1" fillId="0" borderId="0" applyFont="0" applyFill="0" applyBorder="0" applyAlignment="0" applyProtection="0"/>
    <xf numFmtId="165" fontId="9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83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2" fillId="0" borderId="0" xfId="0" applyFont="1"/>
    <xf numFmtId="0" fontId="10" fillId="0" borderId="1" xfId="1" applyFont="1" applyBorder="1" applyAlignment="1">
      <alignment horizontal="center" vertical="center" wrapText="1"/>
    </xf>
    <xf numFmtId="0" fontId="10" fillId="0" borderId="1" xfId="1" applyFont="1" applyBorder="1"/>
    <xf numFmtId="0" fontId="10" fillId="2" borderId="1" xfId="1" applyFont="1" applyFill="1" applyBorder="1"/>
    <xf numFmtId="0" fontId="13" fillId="0" borderId="1" xfId="1" applyFont="1" applyBorder="1"/>
    <xf numFmtId="164" fontId="13" fillId="0" borderId="1" xfId="1" applyNumberFormat="1" applyFont="1" applyBorder="1"/>
    <xf numFmtId="164" fontId="14" fillId="0" borderId="1" xfId="1" applyNumberFormat="1" applyFont="1" applyBorder="1"/>
    <xf numFmtId="164" fontId="14" fillId="3" borderId="1" xfId="2" quotePrefix="1" applyNumberFormat="1" applyFont="1" applyFill="1" applyBorder="1" applyAlignment="1"/>
    <xf numFmtId="164" fontId="11" fillId="3" borderId="1" xfId="2" quotePrefix="1" applyNumberFormat="1" applyFont="1" applyFill="1" applyBorder="1" applyAlignment="1">
      <alignment horizontal="center"/>
    </xf>
    <xf numFmtId="164" fontId="10" fillId="0" borderId="1" xfId="1" applyNumberFormat="1" applyFont="1" applyBorder="1"/>
    <xf numFmtId="166" fontId="11" fillId="0" borderId="1" xfId="3" applyNumberFormat="1" applyFont="1" applyFill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167" fontId="10" fillId="0" borderId="1" xfId="3" applyNumberFormat="1" applyFont="1" applyFill="1" applyBorder="1" applyAlignment="1">
      <alignment horizontal="center" vertical="center"/>
    </xf>
    <xf numFmtId="167" fontId="10" fillId="2" borderId="1" xfId="3" applyNumberFormat="1" applyFont="1" applyFill="1" applyBorder="1" applyAlignment="1">
      <alignment horizontal="center" vertical="center"/>
    </xf>
    <xf numFmtId="166" fontId="13" fillId="0" borderId="1" xfId="3" applyNumberFormat="1" applyFont="1" applyFill="1" applyBorder="1" applyAlignment="1">
      <alignment horizontal="center" vertical="center"/>
    </xf>
    <xf numFmtId="168" fontId="10" fillId="0" borderId="1" xfId="3" applyNumberFormat="1" applyFont="1" applyFill="1" applyBorder="1" applyAlignment="1">
      <alignment horizontal="center" vertical="center"/>
    </xf>
    <xf numFmtId="169" fontId="13" fillId="0" borderId="1" xfId="3" applyNumberFormat="1" applyFont="1" applyFill="1" applyBorder="1" applyAlignment="1">
      <alignment horizontal="center" vertical="center"/>
    </xf>
    <xf numFmtId="170" fontId="10" fillId="0" borderId="1" xfId="3" applyNumberFormat="1" applyFont="1" applyFill="1" applyBorder="1" applyAlignment="1">
      <alignment horizontal="center" vertical="center"/>
    </xf>
    <xf numFmtId="170" fontId="15" fillId="0" borderId="1" xfId="3" applyNumberFormat="1" applyFont="1" applyFill="1" applyBorder="1" applyAlignment="1">
      <alignment horizontal="center" vertical="center"/>
    </xf>
    <xf numFmtId="170" fontId="11" fillId="0" borderId="1" xfId="3" applyNumberFormat="1" applyFont="1" applyFill="1" applyBorder="1" applyAlignment="1">
      <alignment horizontal="center" vertical="center"/>
    </xf>
    <xf numFmtId="171" fontId="0" fillId="0" borderId="1" xfId="0" applyNumberFormat="1" applyBorder="1"/>
    <xf numFmtId="167" fontId="10" fillId="0" borderId="1" xfId="1" applyNumberFormat="1" applyFont="1" applyBorder="1"/>
    <xf numFmtId="170" fontId="11" fillId="4" borderId="1" xfId="3" applyNumberFormat="1" applyFont="1" applyFill="1" applyBorder="1" applyAlignment="1">
      <alignment horizontal="center" vertical="center"/>
    </xf>
    <xf numFmtId="0" fontId="10" fillId="0" borderId="1" xfId="1" applyFont="1" applyBorder="1" applyAlignment="1">
      <alignment horizontal="center"/>
    </xf>
    <xf numFmtId="0" fontId="16" fillId="0" borderId="0" xfId="1" applyFont="1"/>
    <xf numFmtId="167" fontId="10" fillId="4" borderId="1" xfId="3" applyNumberFormat="1" applyFont="1" applyFill="1" applyBorder="1" applyAlignment="1">
      <alignment horizontal="center" vertical="center"/>
    </xf>
    <xf numFmtId="0" fontId="17" fillId="0" borderId="0" xfId="0" applyFont="1"/>
    <xf numFmtId="0" fontId="18" fillId="5" borderId="4" xfId="0" applyFont="1" applyFill="1" applyBorder="1" applyAlignment="1">
      <alignment horizontal="center" vertical="center" wrapText="1"/>
    </xf>
    <xf numFmtId="0" fontId="18" fillId="5" borderId="5" xfId="0" applyFont="1" applyFill="1" applyBorder="1" applyAlignment="1">
      <alignment horizontal="center" vertical="center" wrapText="1"/>
    </xf>
    <xf numFmtId="172" fontId="18" fillId="5" borderId="5" xfId="0" applyNumberFormat="1" applyFont="1" applyFill="1" applyBorder="1" applyAlignment="1">
      <alignment horizontal="center" vertical="center" wrapText="1"/>
    </xf>
    <xf numFmtId="0" fontId="18" fillId="5" borderId="6" xfId="0" applyFont="1" applyFill="1" applyBorder="1" applyAlignment="1">
      <alignment horizontal="center" vertical="center" wrapText="1"/>
    </xf>
    <xf numFmtId="3" fontId="20" fillId="0" borderId="11" xfId="0" applyNumberFormat="1" applyFont="1" applyBorder="1" applyAlignment="1">
      <alignment horizontal="right" vertical="center"/>
    </xf>
    <xf numFmtId="0" fontId="21" fillId="0" borderId="0" xfId="0" applyFont="1"/>
    <xf numFmtId="0" fontId="22" fillId="0" borderId="3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/>
    </xf>
    <xf numFmtId="172" fontId="22" fillId="0" borderId="1" xfId="0" applyNumberFormat="1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41" fontId="22" fillId="0" borderId="1" xfId="4" applyFont="1" applyFill="1" applyBorder="1" applyAlignment="1">
      <alignment horizontal="center" vertical="center"/>
    </xf>
    <xf numFmtId="0" fontId="25" fillId="0" borderId="0" xfId="0" applyFont="1"/>
    <xf numFmtId="0" fontId="25" fillId="2" borderId="0" xfId="0" applyFont="1" applyFill="1"/>
    <xf numFmtId="0" fontId="0" fillId="2" borderId="0" xfId="0" applyFill="1"/>
    <xf numFmtId="0" fontId="0" fillId="3" borderId="0" xfId="0" applyFill="1"/>
    <xf numFmtId="173" fontId="27" fillId="0" borderId="12" xfId="0" applyNumberFormat="1" applyFont="1" applyBorder="1" applyAlignment="1">
      <alignment horizontal="center" vertical="center"/>
    </xf>
    <xf numFmtId="41" fontId="27" fillId="0" borderId="1" xfId="4" applyFont="1" applyFill="1" applyBorder="1" applyAlignment="1">
      <alignment horizontal="center" vertical="center"/>
    </xf>
    <xf numFmtId="0" fontId="28" fillId="0" borderId="0" xfId="0" applyFont="1"/>
    <xf numFmtId="172" fontId="24" fillId="0" borderId="1" xfId="0" applyNumberFormat="1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3" fontId="24" fillId="0" borderId="3" xfId="0" applyNumberFormat="1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41" fontId="29" fillId="0" borderId="1" xfId="4" applyFont="1" applyFill="1" applyBorder="1" applyAlignment="1">
      <alignment horizontal="center" vertical="center"/>
    </xf>
    <xf numFmtId="0" fontId="26" fillId="0" borderId="0" xfId="0" applyFont="1"/>
    <xf numFmtId="0" fontId="6" fillId="5" borderId="0" xfId="0" applyFont="1" applyFill="1"/>
    <xf numFmtId="0" fontId="10" fillId="5" borderId="1" xfId="1" applyFont="1" applyFill="1" applyBorder="1"/>
    <xf numFmtId="0" fontId="10" fillId="5" borderId="1" xfId="1" applyFont="1" applyFill="1" applyBorder="1" applyAlignment="1">
      <alignment horizontal="center" vertical="center"/>
    </xf>
    <xf numFmtId="167" fontId="10" fillId="5" borderId="1" xfId="3" applyNumberFormat="1" applyFont="1" applyFill="1" applyBorder="1" applyAlignment="1">
      <alignment horizontal="center" vertical="center"/>
    </xf>
    <xf numFmtId="166" fontId="13" fillId="5" borderId="1" xfId="3" applyNumberFormat="1" applyFont="1" applyFill="1" applyBorder="1" applyAlignment="1">
      <alignment horizontal="center" vertical="center"/>
    </xf>
    <xf numFmtId="168" fontId="10" fillId="5" borderId="1" xfId="3" applyNumberFormat="1" applyFont="1" applyFill="1" applyBorder="1" applyAlignment="1">
      <alignment horizontal="center" vertical="center"/>
    </xf>
    <xf numFmtId="169" fontId="13" fillId="5" borderId="1" xfId="3" applyNumberFormat="1" applyFont="1" applyFill="1" applyBorder="1" applyAlignment="1">
      <alignment horizontal="center" vertical="center"/>
    </xf>
    <xf numFmtId="170" fontId="10" fillId="5" borderId="1" xfId="3" applyNumberFormat="1" applyFont="1" applyFill="1" applyBorder="1" applyAlignment="1">
      <alignment horizontal="center" vertical="center"/>
    </xf>
    <xf numFmtId="170" fontId="15" fillId="5" borderId="1" xfId="3" applyNumberFormat="1" applyFont="1" applyFill="1" applyBorder="1" applyAlignment="1">
      <alignment horizontal="center" vertical="center"/>
    </xf>
    <xf numFmtId="170" fontId="11" fillId="5" borderId="1" xfId="3" applyNumberFormat="1" applyFont="1" applyFill="1" applyBorder="1" applyAlignment="1">
      <alignment horizontal="center" vertical="center"/>
    </xf>
    <xf numFmtId="171" fontId="0" fillId="5" borderId="1" xfId="0" applyNumberFormat="1" applyFill="1" applyBorder="1"/>
    <xf numFmtId="0" fontId="5" fillId="5" borderId="0" xfId="0" applyFont="1" applyFill="1"/>
    <xf numFmtId="0" fontId="0" fillId="5" borderId="0" xfId="0" applyFill="1"/>
    <xf numFmtId="170" fontId="11" fillId="6" borderId="1" xfId="3" applyNumberFormat="1" applyFont="1" applyFill="1" applyBorder="1" applyAlignment="1">
      <alignment horizontal="center" vertical="center"/>
    </xf>
    <xf numFmtId="174" fontId="10" fillId="4" borderId="1" xfId="3" applyNumberFormat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center" vertical="center" wrapText="1"/>
    </xf>
    <xf numFmtId="0" fontId="10" fillId="2" borderId="3" xfId="1" applyFont="1" applyFill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textRotation="255" wrapText="1"/>
    </xf>
    <xf numFmtId="0" fontId="19" fillId="0" borderId="0" xfId="0" applyFont="1" applyAlignment="1">
      <alignment horizontal="center" vertical="center" textRotation="255" wrapText="1"/>
    </xf>
    <xf numFmtId="172" fontId="20" fillId="0" borderId="8" xfId="0" applyNumberFormat="1" applyFont="1" applyBorder="1" applyAlignment="1">
      <alignment horizontal="center" vertical="center"/>
    </xf>
    <xf numFmtId="172" fontId="20" fillId="0" borderId="9" xfId="0" applyNumberFormat="1" applyFont="1" applyBorder="1" applyAlignment="1">
      <alignment horizontal="center" vertical="center"/>
    </xf>
    <xf numFmtId="172" fontId="20" fillId="0" borderId="10" xfId="0" applyNumberFormat="1" applyFont="1" applyBorder="1" applyAlignment="1">
      <alignment horizontal="center" vertical="center"/>
    </xf>
    <xf numFmtId="0" fontId="26" fillId="0" borderId="13" xfId="0" applyFont="1" applyBorder="1" applyAlignment="1">
      <alignment horizontal="center"/>
    </xf>
    <xf numFmtId="0" fontId="26" fillId="0" borderId="12" xfId="0" applyFont="1" applyBorder="1" applyAlignment="1">
      <alignment horizontal="center"/>
    </xf>
  </cellXfs>
  <cellStyles count="5">
    <cellStyle name="Milliers [0]" xfId="4" builtinId="6"/>
    <cellStyle name="Milliers 3 2" xfId="3" xr:uid="{57FCC654-52EA-486F-B17D-D2ABA8EAE8EF}"/>
    <cellStyle name="Normal" xfId="0" builtinId="0"/>
    <cellStyle name="Normal 3" xfId="1" xr:uid="{EB257FB5-98C1-43FA-A2EC-51F227C8C2E0}"/>
    <cellStyle name="Pourcentage 2" xfId="2" xr:uid="{396ABAC0-0A47-4DE3-9244-C04807B20A6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9F907-649A-4280-A12C-BA216DEBC8D0}">
  <dimension ref="A2:U48"/>
  <sheetViews>
    <sheetView topLeftCell="A6" zoomScaleNormal="100" workbookViewId="0">
      <pane xSplit="8" topLeftCell="I1" activePane="topRight" state="frozen"/>
      <selection pane="topRight" activeCell="E15" sqref="E15:E25"/>
    </sheetView>
  </sheetViews>
  <sheetFormatPr baseColWidth="10" defaultRowHeight="14.4" x14ac:dyDescent="0.3"/>
  <cols>
    <col min="1" max="1" width="14.5546875" bestFit="1" customWidth="1"/>
    <col min="2" max="2" width="4.6640625" customWidth="1"/>
    <col min="3" max="3" width="44.6640625" bestFit="1" customWidth="1"/>
    <col min="4" max="4" width="25.88671875" customWidth="1"/>
    <col min="5" max="5" width="17.109375" bestFit="1" customWidth="1"/>
    <col min="6" max="6" width="15.44140625" customWidth="1"/>
    <col min="7" max="7" width="17.109375" bestFit="1" customWidth="1"/>
    <col min="8" max="8" width="17.21875" customWidth="1"/>
    <col min="9" max="9" width="12.109375" bestFit="1" customWidth="1"/>
    <col min="10" max="10" width="19.109375" customWidth="1"/>
    <col min="11" max="11" width="11.44140625" customWidth="1"/>
    <col min="12" max="12" width="9.109375" customWidth="1"/>
    <col min="13" max="13" width="11.33203125" customWidth="1"/>
    <col min="14" max="14" width="13.88671875" bestFit="1" customWidth="1"/>
    <col min="15" max="15" width="13" customWidth="1"/>
    <col min="16" max="16" width="18" customWidth="1"/>
    <col min="17" max="17" width="22.109375" customWidth="1"/>
    <col min="18" max="18" width="19.77734375" customWidth="1"/>
    <col min="19" max="19" width="22.21875" customWidth="1"/>
    <col min="20" max="20" width="15.21875" bestFit="1" customWidth="1"/>
  </cols>
  <sheetData>
    <row r="2" spans="1:21" ht="21" x14ac:dyDescent="0.4">
      <c r="A2" s="1" t="s">
        <v>0</v>
      </c>
      <c r="B2" s="2">
        <f>655.957/1000</f>
        <v>0.65595700000000001</v>
      </c>
      <c r="U2" s="3"/>
    </row>
    <row r="3" spans="1:21" ht="21" x14ac:dyDescent="0.4">
      <c r="A3" s="4"/>
      <c r="B3" s="4"/>
      <c r="D3" s="31" t="s">
        <v>42</v>
      </c>
      <c r="F3" s="5"/>
      <c r="G3" s="5"/>
      <c r="L3" s="6"/>
      <c r="Q3" s="7">
        <f>15/655.957</f>
        <v>2.2867352585611556E-2</v>
      </c>
      <c r="U3" s="3"/>
    </row>
    <row r="4" spans="1:21" ht="21" x14ac:dyDescent="0.4">
      <c r="A4" s="4"/>
      <c r="B4" s="4"/>
      <c r="L4" s="6"/>
      <c r="U4" s="3"/>
    </row>
    <row r="5" spans="1:21" ht="21" x14ac:dyDescent="0.4">
      <c r="A5" s="4"/>
      <c r="B5" s="4"/>
      <c r="U5" s="3"/>
    </row>
    <row r="6" spans="1:21" ht="48.6" x14ac:dyDescent="0.4">
      <c r="A6" s="4"/>
      <c r="B6" s="4"/>
      <c r="D6" s="8" t="s">
        <v>1</v>
      </c>
      <c r="E6" s="8" t="s">
        <v>2</v>
      </c>
      <c r="F6" s="8" t="s">
        <v>3</v>
      </c>
      <c r="G6" s="8" t="s">
        <v>4</v>
      </c>
      <c r="H6" s="8" t="s">
        <v>5</v>
      </c>
      <c r="I6" s="74" t="s">
        <v>6</v>
      </c>
      <c r="J6" s="75"/>
      <c r="K6" s="8" t="s">
        <v>7</v>
      </c>
      <c r="L6" s="8" t="s">
        <v>8</v>
      </c>
      <c r="M6" s="8" t="s">
        <v>9</v>
      </c>
      <c r="N6" s="8" t="s">
        <v>10</v>
      </c>
      <c r="O6" s="8" t="s">
        <v>11</v>
      </c>
      <c r="P6" s="8" t="s">
        <v>12</v>
      </c>
      <c r="Q6" s="8" t="s">
        <v>13</v>
      </c>
      <c r="R6" s="8" t="s">
        <v>14</v>
      </c>
      <c r="S6" s="8" t="s">
        <v>15</v>
      </c>
      <c r="T6" s="8" t="s">
        <v>16</v>
      </c>
      <c r="U6" s="3"/>
    </row>
    <row r="7" spans="1:21" ht="21" x14ac:dyDescent="0.4">
      <c r="A7" s="4"/>
      <c r="B7" s="4"/>
      <c r="D7" s="30" t="s">
        <v>20</v>
      </c>
      <c r="E7" s="28">
        <f>SUM(E8:E48)</f>
        <v>13500</v>
      </c>
      <c r="F7" s="9"/>
      <c r="G7" s="9"/>
      <c r="H7" s="9"/>
      <c r="I7" s="10"/>
      <c r="J7" s="10"/>
      <c r="K7" s="11"/>
      <c r="L7" s="12"/>
      <c r="M7" s="13">
        <v>5.0749999999999997E-3</v>
      </c>
      <c r="N7" s="14">
        <v>0.01</v>
      </c>
      <c r="O7" s="15"/>
      <c r="P7" s="16"/>
      <c r="Q7" s="17"/>
      <c r="R7" s="17"/>
      <c r="S7" s="17">
        <f t="shared" ref="S7:S14" si="0">R7*$B$2</f>
        <v>0</v>
      </c>
      <c r="U7" s="3"/>
    </row>
    <row r="8" spans="1:21" ht="21" x14ac:dyDescent="0.4">
      <c r="A8" s="4"/>
      <c r="B8" s="4"/>
      <c r="C8" s="9" t="s">
        <v>37</v>
      </c>
      <c r="D8" s="18" t="s">
        <v>38</v>
      </c>
      <c r="E8" s="19">
        <v>500</v>
      </c>
      <c r="F8" s="18" t="s">
        <v>62</v>
      </c>
      <c r="G8" s="32"/>
      <c r="H8" s="19">
        <v>1878</v>
      </c>
      <c r="I8" s="20">
        <f>+G8-H8</f>
        <v>-1878</v>
      </c>
      <c r="J8" s="20" t="s">
        <v>17</v>
      </c>
      <c r="K8" s="21">
        <v>40</v>
      </c>
      <c r="L8" s="21">
        <v>1</v>
      </c>
      <c r="M8" s="22">
        <f t="shared" ref="M8:M14" si="1">H8*$M$7</f>
        <v>9.5308499999999992</v>
      </c>
      <c r="N8" s="23">
        <f t="shared" ref="N8:N14" si="2">H8*$N$7</f>
        <v>18.78</v>
      </c>
      <c r="O8" s="23">
        <f>SUM(K8:N8)</f>
        <v>69.310850000000002</v>
      </c>
      <c r="P8" s="24">
        <f>H8-O8</f>
        <v>1808.6891499999999</v>
      </c>
      <c r="Q8" s="25">
        <f>M8+P8</f>
        <v>1818.22</v>
      </c>
      <c r="R8" s="29">
        <v>7241</v>
      </c>
      <c r="S8" s="26">
        <f>R8*$B$2</f>
        <v>4749.7846369999997</v>
      </c>
      <c r="T8" s="27">
        <f>S8-Q8</f>
        <v>2931.5646369999995</v>
      </c>
      <c r="U8" s="3"/>
    </row>
    <row r="9" spans="1:21" ht="21" x14ac:dyDescent="0.4">
      <c r="A9" s="4"/>
      <c r="B9" s="4"/>
      <c r="C9" s="9" t="s">
        <v>37</v>
      </c>
      <c r="D9" s="18" t="s">
        <v>39</v>
      </c>
      <c r="E9" s="19">
        <v>500</v>
      </c>
      <c r="F9" s="18" t="s">
        <v>62</v>
      </c>
      <c r="G9" s="32"/>
      <c r="H9" s="19">
        <v>1878</v>
      </c>
      <c r="I9" s="20">
        <f>+G9-H9</f>
        <v>-1878</v>
      </c>
      <c r="J9" s="20" t="s">
        <v>17</v>
      </c>
      <c r="K9" s="21">
        <v>40</v>
      </c>
      <c r="L9" s="21">
        <v>1</v>
      </c>
      <c r="M9" s="22">
        <f t="shared" si="1"/>
        <v>9.5308499999999992</v>
      </c>
      <c r="N9" s="23">
        <f t="shared" si="2"/>
        <v>18.78</v>
      </c>
      <c r="O9" s="23">
        <f>SUM(K9:N9)</f>
        <v>69.310850000000002</v>
      </c>
      <c r="P9" s="24">
        <f t="shared" ref="P9:P14" si="3">H9-O9</f>
        <v>1808.6891499999999</v>
      </c>
      <c r="Q9" s="25">
        <f>M9+P9</f>
        <v>1818.22</v>
      </c>
      <c r="R9" s="29">
        <v>7241</v>
      </c>
      <c r="S9" s="26">
        <f t="shared" si="0"/>
        <v>4749.7846369999997</v>
      </c>
      <c r="T9" s="27">
        <f>S9-Q9</f>
        <v>2931.5646369999995</v>
      </c>
      <c r="U9" s="3"/>
    </row>
    <row r="10" spans="1:21" ht="21" x14ac:dyDescent="0.4">
      <c r="A10" s="4"/>
      <c r="B10" s="4"/>
      <c r="C10" s="9" t="s">
        <v>37</v>
      </c>
      <c r="D10" s="18" t="s">
        <v>40</v>
      </c>
      <c r="E10" s="19">
        <v>500</v>
      </c>
      <c r="F10" s="18" t="s">
        <v>62</v>
      </c>
      <c r="G10" s="32"/>
      <c r="H10" s="19">
        <v>1878</v>
      </c>
      <c r="I10" s="20">
        <f t="shared" ref="I10:I14" si="4">+G10-H10</f>
        <v>-1878</v>
      </c>
      <c r="J10" s="20" t="s">
        <v>17</v>
      </c>
      <c r="K10" s="21">
        <v>40</v>
      </c>
      <c r="L10" s="21">
        <v>1</v>
      </c>
      <c r="M10" s="22">
        <f t="shared" si="1"/>
        <v>9.5308499999999992</v>
      </c>
      <c r="N10" s="23">
        <f t="shared" si="2"/>
        <v>18.78</v>
      </c>
      <c r="O10" s="23">
        <f t="shared" ref="O10:O14" si="5">SUM(K10:N10)</f>
        <v>69.310850000000002</v>
      </c>
      <c r="P10" s="24">
        <f t="shared" si="3"/>
        <v>1808.6891499999999</v>
      </c>
      <c r="Q10" s="25">
        <f t="shared" ref="Q10:Q14" si="6">M10+P10</f>
        <v>1818.22</v>
      </c>
      <c r="R10" s="29">
        <v>7241</v>
      </c>
      <c r="S10" s="26">
        <f t="shared" si="0"/>
        <v>4749.7846369999997</v>
      </c>
      <c r="T10" s="27">
        <f t="shared" ref="T10:T14" si="7">S10-Q10</f>
        <v>2931.5646369999995</v>
      </c>
      <c r="U10" s="3"/>
    </row>
    <row r="11" spans="1:21" ht="21" x14ac:dyDescent="0.4">
      <c r="A11" s="4"/>
      <c r="B11" s="4"/>
      <c r="C11" s="9" t="s">
        <v>37</v>
      </c>
      <c r="D11" s="18" t="s">
        <v>41</v>
      </c>
      <c r="E11" s="19">
        <v>500</v>
      </c>
      <c r="F11" s="18" t="s">
        <v>62</v>
      </c>
      <c r="G11" s="32"/>
      <c r="H11" s="19">
        <v>1878</v>
      </c>
      <c r="I11" s="20">
        <f t="shared" si="4"/>
        <v>-1878</v>
      </c>
      <c r="J11" s="20" t="s">
        <v>17</v>
      </c>
      <c r="K11" s="21">
        <v>40</v>
      </c>
      <c r="L11" s="21">
        <v>1</v>
      </c>
      <c r="M11" s="22">
        <f t="shared" si="1"/>
        <v>9.5308499999999992</v>
      </c>
      <c r="N11" s="23">
        <f t="shared" si="2"/>
        <v>18.78</v>
      </c>
      <c r="O11" s="23">
        <f t="shared" si="5"/>
        <v>69.310850000000002</v>
      </c>
      <c r="P11" s="24">
        <f t="shared" si="3"/>
        <v>1808.6891499999999</v>
      </c>
      <c r="Q11" s="25">
        <f t="shared" si="6"/>
        <v>1818.22</v>
      </c>
      <c r="R11" s="29">
        <v>7241</v>
      </c>
      <c r="S11" s="26">
        <f t="shared" si="0"/>
        <v>4749.7846369999997</v>
      </c>
      <c r="T11" s="27">
        <f t="shared" si="7"/>
        <v>2931.5646369999995</v>
      </c>
      <c r="U11" s="3"/>
    </row>
    <row r="12" spans="1:21" ht="21" x14ac:dyDescent="0.4">
      <c r="A12" s="4"/>
      <c r="B12" s="4"/>
      <c r="C12" s="9" t="s">
        <v>47</v>
      </c>
      <c r="D12" s="18" t="s">
        <v>43</v>
      </c>
      <c r="E12" s="19">
        <v>250</v>
      </c>
      <c r="F12" s="18" t="s">
        <v>62</v>
      </c>
      <c r="G12" s="32"/>
      <c r="H12" s="19">
        <v>1868</v>
      </c>
      <c r="I12" s="20">
        <f t="shared" si="4"/>
        <v>-1868</v>
      </c>
      <c r="J12" s="20" t="s">
        <v>17</v>
      </c>
      <c r="K12" s="21">
        <v>40</v>
      </c>
      <c r="L12" s="21">
        <v>1</v>
      </c>
      <c r="M12" s="22">
        <f t="shared" si="1"/>
        <v>9.4801000000000002</v>
      </c>
      <c r="N12" s="23">
        <f t="shared" si="2"/>
        <v>18.68</v>
      </c>
      <c r="O12" s="23">
        <f t="shared" si="5"/>
        <v>69.1601</v>
      </c>
      <c r="P12" s="24">
        <f t="shared" si="3"/>
        <v>1798.8398999999999</v>
      </c>
      <c r="Q12" s="25">
        <f t="shared" si="6"/>
        <v>1808.32</v>
      </c>
      <c r="R12" s="29">
        <v>7241</v>
      </c>
      <c r="S12" s="26">
        <f t="shared" si="0"/>
        <v>4749.7846369999997</v>
      </c>
      <c r="T12" s="27">
        <f t="shared" si="7"/>
        <v>2941.464637</v>
      </c>
      <c r="U12" s="3"/>
    </row>
    <row r="13" spans="1:21" ht="21" x14ac:dyDescent="0.4">
      <c r="A13" s="4"/>
      <c r="B13" s="4"/>
      <c r="C13" s="9" t="s">
        <v>47</v>
      </c>
      <c r="D13" s="18" t="s">
        <v>44</v>
      </c>
      <c r="E13" s="19">
        <v>250</v>
      </c>
      <c r="F13" s="18" t="s">
        <v>62</v>
      </c>
      <c r="G13" s="32"/>
      <c r="H13" s="19">
        <v>1868</v>
      </c>
      <c r="I13" s="20">
        <f t="shared" si="4"/>
        <v>-1868</v>
      </c>
      <c r="J13" s="20" t="s">
        <v>17</v>
      </c>
      <c r="K13" s="21">
        <v>40</v>
      </c>
      <c r="L13" s="21">
        <v>1</v>
      </c>
      <c r="M13" s="22">
        <f t="shared" si="1"/>
        <v>9.4801000000000002</v>
      </c>
      <c r="N13" s="23">
        <f t="shared" si="2"/>
        <v>18.68</v>
      </c>
      <c r="O13" s="23">
        <f t="shared" si="5"/>
        <v>69.1601</v>
      </c>
      <c r="P13" s="24">
        <f t="shared" si="3"/>
        <v>1798.8398999999999</v>
      </c>
      <c r="Q13" s="25">
        <f t="shared" si="6"/>
        <v>1808.32</v>
      </c>
      <c r="R13" s="29">
        <v>7241</v>
      </c>
      <c r="S13" s="26">
        <f t="shared" si="0"/>
        <v>4749.7846369999997</v>
      </c>
      <c r="T13" s="27">
        <f t="shared" si="7"/>
        <v>2941.464637</v>
      </c>
      <c r="U13" s="3"/>
    </row>
    <row r="14" spans="1:21" ht="21" x14ac:dyDescent="0.4">
      <c r="A14" s="4"/>
      <c r="B14" s="4"/>
      <c r="C14" s="9" t="s">
        <v>47</v>
      </c>
      <c r="D14" s="18" t="s">
        <v>45</v>
      </c>
      <c r="E14" s="19">
        <v>250</v>
      </c>
      <c r="F14" s="18" t="s">
        <v>62</v>
      </c>
      <c r="G14" s="32"/>
      <c r="H14" s="19">
        <v>1868</v>
      </c>
      <c r="I14" s="20">
        <f t="shared" si="4"/>
        <v>-1868</v>
      </c>
      <c r="J14" s="20" t="s">
        <v>17</v>
      </c>
      <c r="K14" s="21">
        <v>40</v>
      </c>
      <c r="L14" s="21">
        <v>1</v>
      </c>
      <c r="M14" s="22">
        <f t="shared" si="1"/>
        <v>9.4801000000000002</v>
      </c>
      <c r="N14" s="23">
        <f t="shared" si="2"/>
        <v>18.68</v>
      </c>
      <c r="O14" s="23">
        <f t="shared" si="5"/>
        <v>69.1601</v>
      </c>
      <c r="P14" s="24">
        <f t="shared" si="3"/>
        <v>1798.8398999999999</v>
      </c>
      <c r="Q14" s="25">
        <f t="shared" si="6"/>
        <v>1808.32</v>
      </c>
      <c r="R14" s="29">
        <v>7241</v>
      </c>
      <c r="S14" s="26">
        <f t="shared" si="0"/>
        <v>4749.7846369999997</v>
      </c>
      <c r="T14" s="27">
        <f t="shared" si="7"/>
        <v>2941.464637</v>
      </c>
      <c r="U14" s="3"/>
    </row>
    <row r="15" spans="1:21" ht="21" x14ac:dyDescent="0.4">
      <c r="A15" s="4"/>
      <c r="B15" s="4"/>
      <c r="C15" s="9" t="s">
        <v>61</v>
      </c>
      <c r="D15" s="18" t="s">
        <v>50</v>
      </c>
      <c r="E15" s="19">
        <v>250</v>
      </c>
      <c r="F15" s="18" t="s">
        <v>62</v>
      </c>
      <c r="G15" s="32"/>
      <c r="H15" s="19">
        <v>1868</v>
      </c>
      <c r="I15" s="20">
        <v>-65.248999999999796</v>
      </c>
      <c r="J15" s="20" t="s">
        <v>17</v>
      </c>
      <c r="K15" s="21">
        <v>40</v>
      </c>
      <c r="L15" s="21">
        <v>1</v>
      </c>
      <c r="M15" s="22">
        <v>21.391124999999999</v>
      </c>
      <c r="N15" s="23">
        <v>42.15</v>
      </c>
      <c r="O15" s="23">
        <v>104.54112499999999</v>
      </c>
      <c r="P15" s="24">
        <v>4110.4588750000003</v>
      </c>
      <c r="Q15" s="25">
        <v>4131.8500000000004</v>
      </c>
      <c r="R15" s="29">
        <v>7028</v>
      </c>
      <c r="S15" s="26">
        <v>4610.0657959999999</v>
      </c>
      <c r="T15" s="27">
        <v>478.2157959999995</v>
      </c>
      <c r="U15" s="3"/>
    </row>
    <row r="16" spans="1:21" ht="21" x14ac:dyDescent="0.4">
      <c r="A16" s="4"/>
      <c r="B16" s="4"/>
      <c r="C16" s="9" t="s">
        <v>61</v>
      </c>
      <c r="D16" s="18" t="s">
        <v>51</v>
      </c>
      <c r="E16" s="19">
        <v>250</v>
      </c>
      <c r="F16" s="18" t="s">
        <v>62</v>
      </c>
      <c r="G16" s="32"/>
      <c r="H16" s="19">
        <v>1868</v>
      </c>
      <c r="I16" s="20">
        <v>-65.248999999999796</v>
      </c>
      <c r="J16" s="20" t="s">
        <v>17</v>
      </c>
      <c r="K16" s="21">
        <v>40</v>
      </c>
      <c r="L16" s="21">
        <v>1</v>
      </c>
      <c r="M16" s="22">
        <v>21.391124999999999</v>
      </c>
      <c r="N16" s="23">
        <v>42.15</v>
      </c>
      <c r="O16" s="23">
        <v>104.54112499999999</v>
      </c>
      <c r="P16" s="24">
        <v>4110.4588750000003</v>
      </c>
      <c r="Q16" s="25">
        <v>4131.8500000000004</v>
      </c>
      <c r="R16" s="29">
        <v>7028</v>
      </c>
      <c r="S16" s="26">
        <v>4610.0657959999999</v>
      </c>
      <c r="T16" s="27">
        <v>478.2157959999995</v>
      </c>
      <c r="U16" s="3"/>
    </row>
    <row r="17" spans="1:21" ht="21" x14ac:dyDescent="0.4">
      <c r="A17" s="4"/>
      <c r="B17" s="4"/>
      <c r="C17" s="9" t="s">
        <v>61</v>
      </c>
      <c r="D17" s="18" t="s">
        <v>52</v>
      </c>
      <c r="E17" s="19">
        <v>250</v>
      </c>
      <c r="F17" s="18" t="s">
        <v>62</v>
      </c>
      <c r="G17" s="32"/>
      <c r="H17" s="19">
        <v>1868</v>
      </c>
      <c r="I17" s="20">
        <v>-65.248999999999796</v>
      </c>
      <c r="J17" s="20" t="s">
        <v>17</v>
      </c>
      <c r="K17" s="21">
        <v>40</v>
      </c>
      <c r="L17" s="21">
        <v>1</v>
      </c>
      <c r="M17" s="22">
        <v>21.391124999999999</v>
      </c>
      <c r="N17" s="23">
        <v>42.15</v>
      </c>
      <c r="O17" s="23">
        <v>104.54112499999999</v>
      </c>
      <c r="P17" s="24">
        <v>4110.4588750000003</v>
      </c>
      <c r="Q17" s="25">
        <v>4131.8500000000004</v>
      </c>
      <c r="R17" s="29">
        <v>6403</v>
      </c>
      <c r="S17" s="26">
        <v>4200.0926710000003</v>
      </c>
      <c r="T17" s="27">
        <v>68.242670999999973</v>
      </c>
      <c r="U17" s="3"/>
    </row>
    <row r="18" spans="1:21" ht="21" x14ac:dyDescent="0.4">
      <c r="A18" s="4"/>
      <c r="B18" s="4"/>
      <c r="C18" s="9" t="s">
        <v>61</v>
      </c>
      <c r="D18" s="18" t="s">
        <v>53</v>
      </c>
      <c r="E18" s="19">
        <v>250</v>
      </c>
      <c r="F18" s="18" t="s">
        <v>62</v>
      </c>
      <c r="G18" s="32"/>
      <c r="H18" s="19">
        <v>1868</v>
      </c>
      <c r="I18" s="20">
        <v>-65.248999999999796</v>
      </c>
      <c r="J18" s="20" t="s">
        <v>17</v>
      </c>
      <c r="K18" s="21">
        <v>40</v>
      </c>
      <c r="L18" s="21">
        <v>1</v>
      </c>
      <c r="M18" s="22">
        <v>21.391124999999999</v>
      </c>
      <c r="N18" s="23">
        <v>42.15</v>
      </c>
      <c r="O18" s="23">
        <v>104.54112499999999</v>
      </c>
      <c r="P18" s="24">
        <v>4110.4588750000003</v>
      </c>
      <c r="Q18" s="25">
        <v>4131.8500000000004</v>
      </c>
      <c r="R18" s="29">
        <v>6403</v>
      </c>
      <c r="S18" s="26">
        <v>4200.0926710000003</v>
      </c>
      <c r="T18" s="27">
        <v>68.242670999999973</v>
      </c>
      <c r="U18" s="3"/>
    </row>
    <row r="19" spans="1:21" ht="21" x14ac:dyDescent="0.4">
      <c r="A19" s="4"/>
      <c r="B19" s="4"/>
      <c r="C19" s="9" t="s">
        <v>61</v>
      </c>
      <c r="D19" s="18" t="s">
        <v>54</v>
      </c>
      <c r="E19" s="19">
        <v>250</v>
      </c>
      <c r="F19" s="18" t="s">
        <v>62</v>
      </c>
      <c r="G19" s="32"/>
      <c r="H19" s="19">
        <v>1868</v>
      </c>
      <c r="I19" s="20">
        <v>-65.248999999999796</v>
      </c>
      <c r="J19" s="20" t="s">
        <v>17</v>
      </c>
      <c r="K19" s="21">
        <v>40</v>
      </c>
      <c r="L19" s="21">
        <v>1</v>
      </c>
      <c r="M19" s="22">
        <v>21.391124999999999</v>
      </c>
      <c r="N19" s="23">
        <v>42.15</v>
      </c>
      <c r="O19" s="23">
        <v>104.54112499999999</v>
      </c>
      <c r="P19" s="24">
        <v>4110.4588750000003</v>
      </c>
      <c r="Q19" s="25">
        <v>4131.8500000000004</v>
      </c>
      <c r="R19" s="29">
        <v>6403</v>
      </c>
      <c r="S19" s="26">
        <v>4200.0926710000003</v>
      </c>
      <c r="T19" s="27">
        <v>68.242670999999973</v>
      </c>
      <c r="U19" s="3"/>
    </row>
    <row r="20" spans="1:21" ht="21" x14ac:dyDescent="0.4">
      <c r="A20" s="4"/>
      <c r="B20" s="4"/>
      <c r="C20" s="9" t="s">
        <v>61</v>
      </c>
      <c r="D20" s="18" t="s">
        <v>55</v>
      </c>
      <c r="E20" s="19">
        <v>500</v>
      </c>
      <c r="F20" s="18" t="s">
        <v>62</v>
      </c>
      <c r="G20" s="32"/>
      <c r="H20" s="19">
        <v>1878</v>
      </c>
      <c r="I20" s="20">
        <v>-65.248999999999796</v>
      </c>
      <c r="J20" s="20" t="s">
        <v>17</v>
      </c>
      <c r="K20" s="21">
        <v>40</v>
      </c>
      <c r="L20" s="21">
        <v>1</v>
      </c>
      <c r="M20" s="22">
        <v>21.391124999999999</v>
      </c>
      <c r="N20" s="23">
        <v>42.15</v>
      </c>
      <c r="O20" s="23">
        <v>104.54112499999999</v>
      </c>
      <c r="P20" s="24">
        <v>4110.4588750000003</v>
      </c>
      <c r="Q20" s="25">
        <v>4131.8500000000004</v>
      </c>
      <c r="R20" s="29">
        <v>7028</v>
      </c>
      <c r="S20" s="26">
        <v>4610.0657959999999</v>
      </c>
      <c r="T20" s="27">
        <v>478.2157959999995</v>
      </c>
      <c r="U20" s="3"/>
    </row>
    <row r="21" spans="1:21" ht="21" x14ac:dyDescent="0.4">
      <c r="A21" s="4"/>
      <c r="B21" s="4"/>
      <c r="C21" s="9" t="s">
        <v>61</v>
      </c>
      <c r="D21" s="18" t="s">
        <v>56</v>
      </c>
      <c r="E21" s="19">
        <v>500</v>
      </c>
      <c r="F21" s="18" t="s">
        <v>62</v>
      </c>
      <c r="G21" s="32"/>
      <c r="H21" s="19">
        <v>1878</v>
      </c>
      <c r="I21" s="20">
        <v>-65.248999999999796</v>
      </c>
      <c r="J21" s="20" t="s">
        <v>17</v>
      </c>
      <c r="K21" s="21">
        <v>40</v>
      </c>
      <c r="L21" s="21">
        <v>1</v>
      </c>
      <c r="M21" s="22">
        <v>21.391124999999999</v>
      </c>
      <c r="N21" s="23">
        <v>42.15</v>
      </c>
      <c r="O21" s="23">
        <v>104.54112499999999</v>
      </c>
      <c r="P21" s="24">
        <v>4110.4588750000003</v>
      </c>
      <c r="Q21" s="25">
        <v>4131.8500000000004</v>
      </c>
      <c r="R21" s="29">
        <v>7028</v>
      </c>
      <c r="S21" s="26">
        <v>4610.0657959999999</v>
      </c>
      <c r="T21" s="27">
        <v>478.2157959999995</v>
      </c>
      <c r="U21" s="3"/>
    </row>
    <row r="22" spans="1:21" ht="21" x14ac:dyDescent="0.4">
      <c r="A22" s="4"/>
      <c r="B22" s="4"/>
      <c r="C22" s="9" t="s">
        <v>61</v>
      </c>
      <c r="D22" s="18" t="s">
        <v>57</v>
      </c>
      <c r="E22" s="19">
        <v>250</v>
      </c>
      <c r="F22" s="18" t="s">
        <v>62</v>
      </c>
      <c r="G22" s="32"/>
      <c r="H22" s="19">
        <v>1929</v>
      </c>
      <c r="I22" s="20">
        <v>-65.248999999999796</v>
      </c>
      <c r="J22" s="20" t="s">
        <v>17</v>
      </c>
      <c r="K22" s="21">
        <v>40</v>
      </c>
      <c r="L22" s="21">
        <v>1</v>
      </c>
      <c r="M22" s="22">
        <v>21.391124999999999</v>
      </c>
      <c r="N22" s="23">
        <v>42.15</v>
      </c>
      <c r="O22" s="23">
        <v>104.54112499999999</v>
      </c>
      <c r="P22" s="24">
        <v>4110.4588750000003</v>
      </c>
      <c r="Q22" s="25">
        <v>4131.8500000000004</v>
      </c>
      <c r="R22" s="29">
        <v>7028</v>
      </c>
      <c r="S22" s="26">
        <v>4610.0657959999999</v>
      </c>
      <c r="T22" s="27">
        <v>478.2157959999995</v>
      </c>
      <c r="U22" s="3"/>
    </row>
    <row r="23" spans="1:21" ht="21" x14ac:dyDescent="0.4">
      <c r="A23" s="4"/>
      <c r="B23" s="4"/>
      <c r="C23" s="9" t="s">
        <v>61</v>
      </c>
      <c r="D23" s="18" t="s">
        <v>58</v>
      </c>
      <c r="E23" s="19">
        <v>250</v>
      </c>
      <c r="F23" s="18" t="s">
        <v>62</v>
      </c>
      <c r="G23" s="32"/>
      <c r="H23" s="19">
        <v>1929</v>
      </c>
      <c r="I23" s="20">
        <v>-65.248999999999796</v>
      </c>
      <c r="J23" s="20" t="s">
        <v>17</v>
      </c>
      <c r="K23" s="21">
        <v>40</v>
      </c>
      <c r="L23" s="21">
        <v>1</v>
      </c>
      <c r="M23" s="22">
        <v>21.391124999999999</v>
      </c>
      <c r="N23" s="23">
        <v>42.15</v>
      </c>
      <c r="O23" s="23">
        <v>104.54112499999999</v>
      </c>
      <c r="P23" s="24">
        <v>4110.4588750000003</v>
      </c>
      <c r="Q23" s="25">
        <v>4131.8500000000004</v>
      </c>
      <c r="R23" s="29">
        <v>6403</v>
      </c>
      <c r="S23" s="26">
        <v>4200.0926710000003</v>
      </c>
      <c r="T23" s="27">
        <v>68.242670999999973</v>
      </c>
      <c r="U23" s="3"/>
    </row>
    <row r="24" spans="1:21" ht="21" x14ac:dyDescent="0.4">
      <c r="A24" s="4"/>
      <c r="B24" s="4"/>
      <c r="C24" s="9" t="s">
        <v>61</v>
      </c>
      <c r="D24" s="18" t="s">
        <v>59</v>
      </c>
      <c r="E24" s="19">
        <v>250</v>
      </c>
      <c r="F24" s="18" t="s">
        <v>62</v>
      </c>
      <c r="G24" s="32"/>
      <c r="H24" s="19">
        <v>1929</v>
      </c>
      <c r="I24" s="20">
        <f t="shared" ref="I24:I43" si="8">+G24-H24</f>
        <v>-1929</v>
      </c>
      <c r="J24" s="20" t="s">
        <v>17</v>
      </c>
      <c r="K24" s="21">
        <v>40</v>
      </c>
      <c r="L24" s="21">
        <v>1</v>
      </c>
      <c r="M24" s="22">
        <f t="shared" ref="M24:M43" si="9">H24*$M$7</f>
        <v>9.789674999999999</v>
      </c>
      <c r="N24" s="23">
        <f t="shared" ref="N24:N43" si="10">H24*$N$7</f>
        <v>19.29</v>
      </c>
      <c r="O24" s="23">
        <f t="shared" ref="O24:O43" si="11">SUM(K24:N24)</f>
        <v>70.079675000000009</v>
      </c>
      <c r="P24" s="24">
        <f t="shared" ref="P24:P43" si="12">H24-O24</f>
        <v>1858.920325</v>
      </c>
      <c r="Q24" s="25">
        <f t="shared" ref="Q24:Q43" si="13">M24+P24</f>
        <v>1868.71</v>
      </c>
      <c r="R24" s="29">
        <v>7028</v>
      </c>
      <c r="S24" s="26">
        <f t="shared" ref="S24" si="14">R24*$B$2</f>
        <v>4610.0657959999999</v>
      </c>
      <c r="T24" s="27">
        <f t="shared" ref="T24:T43" si="15">S24-Q24</f>
        <v>2741.3557959999998</v>
      </c>
      <c r="U24" s="3"/>
    </row>
    <row r="25" spans="1:21" ht="21" x14ac:dyDescent="0.4">
      <c r="A25" s="4"/>
      <c r="B25" s="4"/>
      <c r="C25" s="9" t="s">
        <v>61</v>
      </c>
      <c r="D25" s="18" t="s">
        <v>60</v>
      </c>
      <c r="E25" s="19">
        <v>250</v>
      </c>
      <c r="F25" s="18" t="s">
        <v>62</v>
      </c>
      <c r="G25" s="32"/>
      <c r="H25" s="19">
        <v>1929</v>
      </c>
      <c r="I25" s="20">
        <f t="shared" si="8"/>
        <v>-1929</v>
      </c>
      <c r="J25" s="20" t="s">
        <v>17</v>
      </c>
      <c r="K25" s="21">
        <v>40</v>
      </c>
      <c r="L25" s="21">
        <v>1</v>
      </c>
      <c r="M25" s="22">
        <f t="shared" si="9"/>
        <v>9.789674999999999</v>
      </c>
      <c r="N25" s="23">
        <f t="shared" si="10"/>
        <v>19.29</v>
      </c>
      <c r="O25" s="23">
        <f t="shared" si="11"/>
        <v>70.079675000000009</v>
      </c>
      <c r="P25" s="24">
        <f t="shared" si="12"/>
        <v>1858.920325</v>
      </c>
      <c r="Q25" s="25">
        <f t="shared" si="13"/>
        <v>1868.71</v>
      </c>
      <c r="R25" s="29">
        <v>7028</v>
      </c>
      <c r="S25" s="26">
        <f>R25*$B$2</f>
        <v>4610.0657959999999</v>
      </c>
      <c r="T25" s="27">
        <f t="shared" si="15"/>
        <v>2741.3557959999998</v>
      </c>
      <c r="U25" s="3"/>
    </row>
    <row r="26" spans="1:21" ht="21" x14ac:dyDescent="0.4">
      <c r="A26" s="4"/>
      <c r="B26" s="4"/>
      <c r="C26" s="9" t="s">
        <v>37</v>
      </c>
      <c r="D26" s="18" t="s">
        <v>89</v>
      </c>
      <c r="E26" s="19">
        <v>500</v>
      </c>
      <c r="F26" s="18" t="s">
        <v>100</v>
      </c>
      <c r="G26" s="32"/>
      <c r="H26" s="19">
        <v>1891</v>
      </c>
      <c r="I26" s="20">
        <f t="shared" si="8"/>
        <v>-1891</v>
      </c>
      <c r="J26" s="20" t="s">
        <v>17</v>
      </c>
      <c r="K26" s="21">
        <v>40</v>
      </c>
      <c r="L26" s="21">
        <v>1</v>
      </c>
      <c r="M26" s="22">
        <f t="shared" si="9"/>
        <v>9.5968249999999991</v>
      </c>
      <c r="N26" s="23">
        <f t="shared" si="10"/>
        <v>18.91</v>
      </c>
      <c r="O26" s="23">
        <f t="shared" si="11"/>
        <v>69.506824999999992</v>
      </c>
      <c r="P26" s="24">
        <f t="shared" si="12"/>
        <v>1821.4931750000001</v>
      </c>
      <c r="Q26" s="25">
        <f t="shared" si="13"/>
        <v>1831.0900000000001</v>
      </c>
      <c r="R26" s="29">
        <v>2276.38</v>
      </c>
      <c r="S26" s="26">
        <f t="shared" ref="S26:S43" si="16">R26*$B$2</f>
        <v>1493.2073956600002</v>
      </c>
      <c r="T26" s="27">
        <f t="shared" si="15"/>
        <v>-337.88260433999994</v>
      </c>
      <c r="U26" s="3"/>
    </row>
    <row r="27" spans="1:21" ht="21" x14ac:dyDescent="0.4">
      <c r="A27" s="4"/>
      <c r="B27" s="4"/>
      <c r="C27" s="9" t="s">
        <v>37</v>
      </c>
      <c r="D27" s="18" t="s">
        <v>90</v>
      </c>
      <c r="E27" s="19">
        <v>500</v>
      </c>
      <c r="F27" s="18" t="s">
        <v>100</v>
      </c>
      <c r="G27" s="32"/>
      <c r="H27" s="19">
        <v>1891</v>
      </c>
      <c r="I27" s="20">
        <f t="shared" si="8"/>
        <v>-1891</v>
      </c>
      <c r="J27" s="20" t="s">
        <v>17</v>
      </c>
      <c r="K27" s="21">
        <v>40</v>
      </c>
      <c r="L27" s="21">
        <v>1</v>
      </c>
      <c r="M27" s="22">
        <f t="shared" si="9"/>
        <v>9.5968249999999991</v>
      </c>
      <c r="N27" s="23">
        <f t="shared" si="10"/>
        <v>18.91</v>
      </c>
      <c r="O27" s="23">
        <f t="shared" si="11"/>
        <v>69.506824999999992</v>
      </c>
      <c r="P27" s="24">
        <f t="shared" si="12"/>
        <v>1821.4931750000001</v>
      </c>
      <c r="Q27" s="25">
        <f t="shared" si="13"/>
        <v>1831.0900000000001</v>
      </c>
      <c r="R27" s="29">
        <v>2308.08</v>
      </c>
      <c r="S27" s="26">
        <f t="shared" si="16"/>
        <v>1514.0012325600001</v>
      </c>
      <c r="T27" s="27">
        <f t="shared" si="15"/>
        <v>-317.08876744000008</v>
      </c>
      <c r="U27" s="3"/>
    </row>
    <row r="28" spans="1:21" ht="21" x14ac:dyDescent="0.4">
      <c r="A28" s="4"/>
      <c r="B28" s="4"/>
      <c r="C28" s="9" t="s">
        <v>47</v>
      </c>
      <c r="D28" s="18" t="s">
        <v>83</v>
      </c>
      <c r="E28" s="19">
        <v>250</v>
      </c>
      <c r="F28" s="18" t="s">
        <v>100</v>
      </c>
      <c r="G28" s="32"/>
      <c r="H28" s="19">
        <v>1880</v>
      </c>
      <c r="I28" s="20">
        <f t="shared" si="8"/>
        <v>-1880</v>
      </c>
      <c r="J28" s="20" t="s">
        <v>17</v>
      </c>
      <c r="K28" s="21">
        <v>40</v>
      </c>
      <c r="L28" s="21">
        <v>1</v>
      </c>
      <c r="M28" s="22">
        <f t="shared" si="9"/>
        <v>9.5409999999999986</v>
      </c>
      <c r="N28" s="23">
        <f t="shared" si="10"/>
        <v>18.8</v>
      </c>
      <c r="O28" s="23">
        <f t="shared" si="11"/>
        <v>69.340999999999994</v>
      </c>
      <c r="P28" s="24">
        <f t="shared" si="12"/>
        <v>1810.6590000000001</v>
      </c>
      <c r="Q28" s="25">
        <f t="shared" si="13"/>
        <v>1820.2</v>
      </c>
      <c r="R28" s="29">
        <v>2276.38</v>
      </c>
      <c r="S28" s="26">
        <f t="shared" si="16"/>
        <v>1493.2073956600002</v>
      </c>
      <c r="T28" s="27">
        <f t="shared" si="15"/>
        <v>-326.99260433999984</v>
      </c>
      <c r="U28" s="3"/>
    </row>
    <row r="29" spans="1:21" ht="21" x14ac:dyDescent="0.4">
      <c r="A29" s="4"/>
      <c r="B29" s="4"/>
      <c r="C29" s="9" t="s">
        <v>47</v>
      </c>
      <c r="D29" s="18" t="s">
        <v>84</v>
      </c>
      <c r="E29" s="19">
        <v>250</v>
      </c>
      <c r="F29" s="18" t="s">
        <v>100</v>
      </c>
      <c r="G29" s="32"/>
      <c r="H29" s="19">
        <v>1880</v>
      </c>
      <c r="I29" s="20">
        <f t="shared" si="8"/>
        <v>-1880</v>
      </c>
      <c r="J29" s="20" t="s">
        <v>17</v>
      </c>
      <c r="K29" s="21">
        <v>40</v>
      </c>
      <c r="L29" s="21">
        <v>1</v>
      </c>
      <c r="M29" s="22">
        <f t="shared" si="9"/>
        <v>9.5409999999999986</v>
      </c>
      <c r="N29" s="23">
        <f t="shared" si="10"/>
        <v>18.8</v>
      </c>
      <c r="O29" s="23">
        <f t="shared" si="11"/>
        <v>69.340999999999994</v>
      </c>
      <c r="P29" s="24">
        <f t="shared" si="12"/>
        <v>1810.6590000000001</v>
      </c>
      <c r="Q29" s="25">
        <f t="shared" si="13"/>
        <v>1820.2</v>
      </c>
      <c r="R29" s="29">
        <v>2308.08</v>
      </c>
      <c r="S29" s="26">
        <f t="shared" si="16"/>
        <v>1514.0012325600001</v>
      </c>
      <c r="T29" s="27">
        <f t="shared" si="15"/>
        <v>-306.19876743999998</v>
      </c>
      <c r="U29" s="3"/>
    </row>
    <row r="30" spans="1:21" ht="21" x14ac:dyDescent="0.4">
      <c r="A30" s="4"/>
      <c r="B30" s="4"/>
      <c r="C30" s="9" t="s">
        <v>47</v>
      </c>
      <c r="D30" s="18" t="s">
        <v>85</v>
      </c>
      <c r="E30" s="19">
        <v>250</v>
      </c>
      <c r="F30" s="18" t="s">
        <v>100</v>
      </c>
      <c r="G30" s="32"/>
      <c r="H30" s="19">
        <v>1880</v>
      </c>
      <c r="I30" s="20">
        <f t="shared" si="8"/>
        <v>-1880</v>
      </c>
      <c r="J30" s="20" t="s">
        <v>17</v>
      </c>
      <c r="K30" s="21">
        <v>40</v>
      </c>
      <c r="L30" s="21">
        <v>1</v>
      </c>
      <c r="M30" s="22">
        <f t="shared" si="9"/>
        <v>9.5409999999999986</v>
      </c>
      <c r="N30" s="23">
        <f t="shared" si="10"/>
        <v>18.8</v>
      </c>
      <c r="O30" s="23">
        <f t="shared" si="11"/>
        <v>69.340999999999994</v>
      </c>
      <c r="P30" s="24">
        <f t="shared" si="12"/>
        <v>1810.6590000000001</v>
      </c>
      <c r="Q30" s="25">
        <f t="shared" si="13"/>
        <v>1820.2</v>
      </c>
      <c r="R30" s="29">
        <v>2276.38</v>
      </c>
      <c r="S30" s="26">
        <f t="shared" si="16"/>
        <v>1493.2073956600002</v>
      </c>
      <c r="T30" s="27">
        <f t="shared" si="15"/>
        <v>-326.99260433999984</v>
      </c>
      <c r="U30" s="3"/>
    </row>
    <row r="31" spans="1:21" ht="21" x14ac:dyDescent="0.4">
      <c r="A31" s="4"/>
      <c r="B31" s="4"/>
      <c r="C31" s="9" t="s">
        <v>47</v>
      </c>
      <c r="D31" s="18" t="s">
        <v>86</v>
      </c>
      <c r="E31" s="19">
        <v>250</v>
      </c>
      <c r="F31" s="18" t="s">
        <v>100</v>
      </c>
      <c r="G31" s="32"/>
      <c r="H31" s="19">
        <v>1880</v>
      </c>
      <c r="I31" s="20">
        <f t="shared" si="8"/>
        <v>-1880</v>
      </c>
      <c r="J31" s="20" t="s">
        <v>17</v>
      </c>
      <c r="K31" s="21">
        <v>40</v>
      </c>
      <c r="L31" s="21">
        <v>1</v>
      </c>
      <c r="M31" s="22">
        <f t="shared" si="9"/>
        <v>9.5409999999999986</v>
      </c>
      <c r="N31" s="23">
        <f t="shared" si="10"/>
        <v>18.8</v>
      </c>
      <c r="O31" s="23">
        <f t="shared" si="11"/>
        <v>69.340999999999994</v>
      </c>
      <c r="P31" s="24">
        <f t="shared" si="12"/>
        <v>1810.6590000000001</v>
      </c>
      <c r="Q31" s="25">
        <f t="shared" si="13"/>
        <v>1820.2</v>
      </c>
      <c r="R31" s="29">
        <v>2308.08</v>
      </c>
      <c r="S31" s="26">
        <f t="shared" si="16"/>
        <v>1514.0012325600001</v>
      </c>
      <c r="T31" s="27">
        <f t="shared" si="15"/>
        <v>-306.19876743999998</v>
      </c>
      <c r="U31" s="3"/>
    </row>
    <row r="32" spans="1:21" ht="21" x14ac:dyDescent="0.4">
      <c r="A32" s="4"/>
      <c r="B32" s="4"/>
      <c r="C32" s="9" t="s">
        <v>19</v>
      </c>
      <c r="D32" s="18" t="s">
        <v>75</v>
      </c>
      <c r="E32" s="19">
        <v>1000</v>
      </c>
      <c r="F32" s="18" t="s">
        <v>100</v>
      </c>
      <c r="G32" s="32"/>
      <c r="H32" s="19">
        <v>1884</v>
      </c>
      <c r="I32" s="20">
        <f t="shared" si="8"/>
        <v>-1884</v>
      </c>
      <c r="J32" s="20" t="s">
        <v>17</v>
      </c>
      <c r="K32" s="21">
        <v>40</v>
      </c>
      <c r="L32" s="21">
        <v>1</v>
      </c>
      <c r="M32" s="22">
        <f t="shared" si="9"/>
        <v>9.5612999999999992</v>
      </c>
      <c r="N32" s="23">
        <f t="shared" si="10"/>
        <v>18.84</v>
      </c>
      <c r="O32" s="23">
        <f t="shared" si="11"/>
        <v>69.401300000000006</v>
      </c>
      <c r="P32" s="24">
        <f t="shared" si="12"/>
        <v>1814.5987</v>
      </c>
      <c r="Q32" s="25">
        <f t="shared" si="13"/>
        <v>1824.16</v>
      </c>
      <c r="R32" s="29">
        <v>2276.38</v>
      </c>
      <c r="S32" s="26">
        <f t="shared" si="16"/>
        <v>1493.2073956600002</v>
      </c>
      <c r="T32" s="27">
        <f t="shared" si="15"/>
        <v>-330.95260433999988</v>
      </c>
      <c r="U32" s="3"/>
    </row>
    <row r="33" spans="1:21" ht="21" x14ac:dyDescent="0.4">
      <c r="A33" s="4"/>
      <c r="B33" s="4"/>
      <c r="C33" s="9" t="s">
        <v>19</v>
      </c>
      <c r="D33" s="18" t="s">
        <v>91</v>
      </c>
      <c r="E33" s="19">
        <v>250</v>
      </c>
      <c r="F33" s="18" t="s">
        <v>100</v>
      </c>
      <c r="G33" s="32"/>
      <c r="H33" s="19">
        <v>1939</v>
      </c>
      <c r="I33" s="20">
        <f t="shared" ref="I33:I38" si="17">+G33-H33</f>
        <v>-1939</v>
      </c>
      <c r="J33" s="20" t="s">
        <v>17</v>
      </c>
      <c r="K33" s="21">
        <v>40</v>
      </c>
      <c r="L33" s="21">
        <v>1</v>
      </c>
      <c r="M33" s="22">
        <f t="shared" ref="M33:M38" si="18">H33*$M$7</f>
        <v>9.8404249999999998</v>
      </c>
      <c r="N33" s="23">
        <f t="shared" ref="N33:N38" si="19">H33*$N$7</f>
        <v>19.39</v>
      </c>
      <c r="O33" s="23">
        <f t="shared" ref="O33:O38" si="20">SUM(K33:N33)</f>
        <v>70.230424999999997</v>
      </c>
      <c r="P33" s="24">
        <f t="shared" ref="P33:P38" si="21">H33-O33</f>
        <v>1868.769575</v>
      </c>
      <c r="Q33" s="25">
        <f t="shared" ref="Q33:Q38" si="22">M33+P33</f>
        <v>1878.6100000000001</v>
      </c>
      <c r="R33" s="29">
        <v>2308.08</v>
      </c>
      <c r="S33" s="26">
        <f t="shared" ref="S33:S38" si="23">R33*$B$2</f>
        <v>1514.0012325600001</v>
      </c>
      <c r="T33" s="27">
        <f t="shared" ref="T33:T38" si="24">S33-Q33</f>
        <v>-364.60876744000007</v>
      </c>
      <c r="U33" s="3"/>
    </row>
    <row r="34" spans="1:21" ht="21" x14ac:dyDescent="0.4">
      <c r="A34" s="4"/>
      <c r="B34" s="4"/>
      <c r="C34" s="9" t="s">
        <v>19</v>
      </c>
      <c r="D34" s="18" t="s">
        <v>92</v>
      </c>
      <c r="E34" s="19">
        <v>250</v>
      </c>
      <c r="F34" s="18" t="s">
        <v>100</v>
      </c>
      <c r="G34" s="32"/>
      <c r="H34" s="19">
        <v>1939</v>
      </c>
      <c r="I34" s="20">
        <f t="shared" si="17"/>
        <v>-1939</v>
      </c>
      <c r="J34" s="20" t="s">
        <v>17</v>
      </c>
      <c r="K34" s="21">
        <v>40</v>
      </c>
      <c r="L34" s="21">
        <v>1</v>
      </c>
      <c r="M34" s="22">
        <f t="shared" si="18"/>
        <v>9.8404249999999998</v>
      </c>
      <c r="N34" s="23">
        <f t="shared" si="19"/>
        <v>19.39</v>
      </c>
      <c r="O34" s="23">
        <f t="shared" si="20"/>
        <v>70.230424999999997</v>
      </c>
      <c r="P34" s="24">
        <f t="shared" si="21"/>
        <v>1868.769575</v>
      </c>
      <c r="Q34" s="25">
        <f t="shared" si="22"/>
        <v>1878.6100000000001</v>
      </c>
      <c r="R34" s="29">
        <v>2276.38</v>
      </c>
      <c r="S34" s="26">
        <f t="shared" si="23"/>
        <v>1493.2073956600002</v>
      </c>
      <c r="T34" s="27">
        <f t="shared" si="24"/>
        <v>-385.40260433999993</v>
      </c>
      <c r="U34" s="3"/>
    </row>
    <row r="35" spans="1:21" ht="21" x14ac:dyDescent="0.4">
      <c r="A35" s="4"/>
      <c r="B35" s="4"/>
      <c r="C35" s="9" t="s">
        <v>19</v>
      </c>
      <c r="D35" s="18" t="s">
        <v>93</v>
      </c>
      <c r="E35" s="19">
        <v>250</v>
      </c>
      <c r="F35" s="18" t="s">
        <v>100</v>
      </c>
      <c r="G35" s="32"/>
      <c r="H35" s="19">
        <v>1939</v>
      </c>
      <c r="I35" s="20">
        <f t="shared" si="17"/>
        <v>-1939</v>
      </c>
      <c r="J35" s="20" t="s">
        <v>17</v>
      </c>
      <c r="K35" s="21">
        <v>40</v>
      </c>
      <c r="L35" s="21">
        <v>1</v>
      </c>
      <c r="M35" s="22">
        <f t="shared" si="18"/>
        <v>9.8404249999999998</v>
      </c>
      <c r="N35" s="23">
        <f t="shared" si="19"/>
        <v>19.39</v>
      </c>
      <c r="O35" s="23">
        <f t="shared" si="20"/>
        <v>70.230424999999997</v>
      </c>
      <c r="P35" s="24">
        <f t="shared" si="21"/>
        <v>1868.769575</v>
      </c>
      <c r="Q35" s="25">
        <f t="shared" si="22"/>
        <v>1878.6100000000001</v>
      </c>
      <c r="R35" s="29">
        <v>2308.08</v>
      </c>
      <c r="S35" s="26">
        <f t="shared" si="23"/>
        <v>1514.0012325600001</v>
      </c>
      <c r="T35" s="27">
        <f t="shared" si="24"/>
        <v>-364.60876744000007</v>
      </c>
      <c r="U35" s="3"/>
    </row>
    <row r="36" spans="1:21" ht="21" x14ac:dyDescent="0.4">
      <c r="A36" s="4"/>
      <c r="B36" s="4"/>
      <c r="C36" s="9" t="s">
        <v>19</v>
      </c>
      <c r="D36" s="18" t="s">
        <v>94</v>
      </c>
      <c r="E36" s="19">
        <v>250</v>
      </c>
      <c r="F36" s="18" t="s">
        <v>100</v>
      </c>
      <c r="G36" s="32"/>
      <c r="H36" s="19">
        <v>1939</v>
      </c>
      <c r="I36" s="20">
        <f t="shared" si="17"/>
        <v>-1939</v>
      </c>
      <c r="J36" s="20" t="s">
        <v>17</v>
      </c>
      <c r="K36" s="21">
        <v>40</v>
      </c>
      <c r="L36" s="21">
        <v>1</v>
      </c>
      <c r="M36" s="22">
        <f t="shared" si="18"/>
        <v>9.8404249999999998</v>
      </c>
      <c r="N36" s="23">
        <f t="shared" si="19"/>
        <v>19.39</v>
      </c>
      <c r="O36" s="23">
        <f t="shared" si="20"/>
        <v>70.230424999999997</v>
      </c>
      <c r="P36" s="24">
        <f t="shared" si="21"/>
        <v>1868.769575</v>
      </c>
      <c r="Q36" s="25">
        <f t="shared" si="22"/>
        <v>1878.6100000000001</v>
      </c>
      <c r="R36" s="29">
        <v>2276.38</v>
      </c>
      <c r="S36" s="26">
        <f t="shared" si="23"/>
        <v>1493.2073956600002</v>
      </c>
      <c r="T36" s="27">
        <f t="shared" si="24"/>
        <v>-385.40260433999993</v>
      </c>
      <c r="U36" s="3"/>
    </row>
    <row r="37" spans="1:21" ht="21" x14ac:dyDescent="0.4">
      <c r="A37" s="4"/>
      <c r="B37" s="4"/>
      <c r="C37" s="9" t="s">
        <v>61</v>
      </c>
      <c r="D37" s="18" t="s">
        <v>77</v>
      </c>
      <c r="E37" s="19">
        <v>250</v>
      </c>
      <c r="F37" s="18" t="s">
        <v>100</v>
      </c>
      <c r="G37" s="32"/>
      <c r="H37" s="19">
        <v>1880</v>
      </c>
      <c r="I37" s="20">
        <f t="shared" si="17"/>
        <v>-1880</v>
      </c>
      <c r="J37" s="20" t="s">
        <v>17</v>
      </c>
      <c r="K37" s="21">
        <v>40</v>
      </c>
      <c r="L37" s="21">
        <v>1</v>
      </c>
      <c r="M37" s="22">
        <f t="shared" si="18"/>
        <v>9.5409999999999986</v>
      </c>
      <c r="N37" s="23">
        <f t="shared" si="19"/>
        <v>18.8</v>
      </c>
      <c r="O37" s="23">
        <f t="shared" si="20"/>
        <v>69.340999999999994</v>
      </c>
      <c r="P37" s="24">
        <f t="shared" si="21"/>
        <v>1810.6590000000001</v>
      </c>
      <c r="Q37" s="25">
        <f t="shared" si="22"/>
        <v>1820.2</v>
      </c>
      <c r="R37" s="29">
        <v>2308.08</v>
      </c>
      <c r="S37" s="26">
        <f t="shared" si="23"/>
        <v>1514.0012325600001</v>
      </c>
      <c r="T37" s="27">
        <f t="shared" si="24"/>
        <v>-306.19876743999998</v>
      </c>
      <c r="U37" s="3"/>
    </row>
    <row r="38" spans="1:21" ht="21" x14ac:dyDescent="0.4">
      <c r="A38" s="4"/>
      <c r="B38" s="4"/>
      <c r="C38" s="9" t="s">
        <v>61</v>
      </c>
      <c r="D38" s="18" t="s">
        <v>78</v>
      </c>
      <c r="E38" s="19">
        <v>250</v>
      </c>
      <c r="F38" s="18" t="s">
        <v>100</v>
      </c>
      <c r="G38" s="32"/>
      <c r="H38" s="19">
        <v>1880</v>
      </c>
      <c r="I38" s="20">
        <f t="shared" si="17"/>
        <v>-1880</v>
      </c>
      <c r="J38" s="20" t="s">
        <v>17</v>
      </c>
      <c r="K38" s="21">
        <v>40</v>
      </c>
      <c r="L38" s="21">
        <v>1</v>
      </c>
      <c r="M38" s="22">
        <f t="shared" si="18"/>
        <v>9.5409999999999986</v>
      </c>
      <c r="N38" s="23">
        <f t="shared" si="19"/>
        <v>18.8</v>
      </c>
      <c r="O38" s="23">
        <f t="shared" si="20"/>
        <v>69.340999999999994</v>
      </c>
      <c r="P38" s="24">
        <f t="shared" si="21"/>
        <v>1810.6590000000001</v>
      </c>
      <c r="Q38" s="25">
        <f t="shared" si="22"/>
        <v>1820.2</v>
      </c>
      <c r="R38" s="29">
        <v>2276.38</v>
      </c>
      <c r="S38" s="26">
        <f t="shared" si="23"/>
        <v>1493.2073956600002</v>
      </c>
      <c r="T38" s="27">
        <f t="shared" si="24"/>
        <v>-326.99260433999984</v>
      </c>
      <c r="U38" s="3"/>
    </row>
    <row r="39" spans="1:21" ht="21" x14ac:dyDescent="0.4">
      <c r="A39" s="4"/>
      <c r="B39" s="4"/>
      <c r="C39" s="9" t="s">
        <v>61</v>
      </c>
      <c r="D39" s="18" t="s">
        <v>79</v>
      </c>
      <c r="E39" s="19">
        <v>250</v>
      </c>
      <c r="F39" s="18" t="s">
        <v>100</v>
      </c>
      <c r="G39" s="32"/>
      <c r="H39" s="19">
        <v>1880</v>
      </c>
      <c r="I39" s="20">
        <f t="shared" si="8"/>
        <v>-1880</v>
      </c>
      <c r="J39" s="20" t="s">
        <v>17</v>
      </c>
      <c r="K39" s="21">
        <v>40</v>
      </c>
      <c r="L39" s="21">
        <v>1</v>
      </c>
      <c r="M39" s="22">
        <f t="shared" si="9"/>
        <v>9.5409999999999986</v>
      </c>
      <c r="N39" s="23">
        <f t="shared" si="10"/>
        <v>18.8</v>
      </c>
      <c r="O39" s="23">
        <f t="shared" si="11"/>
        <v>69.340999999999994</v>
      </c>
      <c r="P39" s="24">
        <f t="shared" si="12"/>
        <v>1810.6590000000001</v>
      </c>
      <c r="Q39" s="25">
        <f t="shared" si="13"/>
        <v>1820.2</v>
      </c>
      <c r="R39" s="29">
        <v>2308.08</v>
      </c>
      <c r="S39" s="26">
        <f t="shared" si="16"/>
        <v>1514.0012325600001</v>
      </c>
      <c r="T39" s="27">
        <f t="shared" si="15"/>
        <v>-306.19876743999998</v>
      </c>
      <c r="U39" s="3"/>
    </row>
    <row r="40" spans="1:21" ht="21" x14ac:dyDescent="0.4">
      <c r="A40" s="4"/>
      <c r="B40" s="4"/>
      <c r="C40" s="9" t="s">
        <v>61</v>
      </c>
      <c r="D40" s="18" t="s">
        <v>80</v>
      </c>
      <c r="E40" s="19">
        <v>250</v>
      </c>
      <c r="F40" s="18" t="s">
        <v>100</v>
      </c>
      <c r="G40" s="32"/>
      <c r="H40" s="19">
        <v>1880</v>
      </c>
      <c r="I40" s="20">
        <f t="shared" si="8"/>
        <v>-1880</v>
      </c>
      <c r="J40" s="20" t="s">
        <v>17</v>
      </c>
      <c r="K40" s="21">
        <v>40</v>
      </c>
      <c r="L40" s="21">
        <v>1</v>
      </c>
      <c r="M40" s="22">
        <f t="shared" si="9"/>
        <v>9.5409999999999986</v>
      </c>
      <c r="N40" s="23">
        <f t="shared" si="10"/>
        <v>18.8</v>
      </c>
      <c r="O40" s="23">
        <f t="shared" si="11"/>
        <v>69.340999999999994</v>
      </c>
      <c r="P40" s="24">
        <f t="shared" si="12"/>
        <v>1810.6590000000001</v>
      </c>
      <c r="Q40" s="25">
        <f t="shared" si="13"/>
        <v>1820.2</v>
      </c>
      <c r="R40" s="29">
        <v>2276.38</v>
      </c>
      <c r="S40" s="26">
        <f t="shared" si="16"/>
        <v>1493.2073956600002</v>
      </c>
      <c r="T40" s="27">
        <f t="shared" si="15"/>
        <v>-326.99260433999984</v>
      </c>
      <c r="U40" s="3"/>
    </row>
    <row r="41" spans="1:21" ht="21" x14ac:dyDescent="0.4">
      <c r="A41" s="4"/>
      <c r="B41" s="4"/>
      <c r="C41" s="9" t="s">
        <v>61</v>
      </c>
      <c r="D41" s="18" t="s">
        <v>81</v>
      </c>
      <c r="E41" s="19">
        <v>250</v>
      </c>
      <c r="F41" s="18" t="s">
        <v>100</v>
      </c>
      <c r="G41" s="32"/>
      <c r="H41" s="19">
        <v>1880</v>
      </c>
      <c r="I41" s="20">
        <f t="shared" si="8"/>
        <v>-1880</v>
      </c>
      <c r="J41" s="20" t="s">
        <v>17</v>
      </c>
      <c r="K41" s="21">
        <v>40</v>
      </c>
      <c r="L41" s="21">
        <v>1</v>
      </c>
      <c r="M41" s="22">
        <f t="shared" si="9"/>
        <v>9.5409999999999986</v>
      </c>
      <c r="N41" s="23">
        <f t="shared" si="10"/>
        <v>18.8</v>
      </c>
      <c r="O41" s="23">
        <f t="shared" si="11"/>
        <v>69.340999999999994</v>
      </c>
      <c r="P41" s="24">
        <f t="shared" si="12"/>
        <v>1810.6590000000001</v>
      </c>
      <c r="Q41" s="25">
        <f t="shared" si="13"/>
        <v>1820.2</v>
      </c>
      <c r="R41" s="29">
        <v>2308.08</v>
      </c>
      <c r="S41" s="26">
        <f t="shared" si="16"/>
        <v>1514.0012325600001</v>
      </c>
      <c r="T41" s="27">
        <f t="shared" si="15"/>
        <v>-306.19876743999998</v>
      </c>
      <c r="U41" s="3"/>
    </row>
    <row r="42" spans="1:21" ht="21" x14ac:dyDescent="0.4">
      <c r="A42" s="4"/>
      <c r="B42" s="4"/>
      <c r="C42" s="9" t="s">
        <v>61</v>
      </c>
      <c r="D42" s="18" t="s">
        <v>82</v>
      </c>
      <c r="E42" s="19">
        <v>250</v>
      </c>
      <c r="F42" s="18" t="s">
        <v>100</v>
      </c>
      <c r="G42" s="32"/>
      <c r="H42" s="19">
        <v>1880</v>
      </c>
      <c r="I42" s="20">
        <f t="shared" si="8"/>
        <v>-1880</v>
      </c>
      <c r="J42" s="20" t="s">
        <v>17</v>
      </c>
      <c r="K42" s="21">
        <v>40</v>
      </c>
      <c r="L42" s="21">
        <v>1</v>
      </c>
      <c r="M42" s="22">
        <f t="shared" si="9"/>
        <v>9.5409999999999986</v>
      </c>
      <c r="N42" s="23">
        <f t="shared" si="10"/>
        <v>18.8</v>
      </c>
      <c r="O42" s="23">
        <f t="shared" si="11"/>
        <v>69.340999999999994</v>
      </c>
      <c r="P42" s="24">
        <f t="shared" si="12"/>
        <v>1810.6590000000001</v>
      </c>
      <c r="Q42" s="25">
        <f t="shared" si="13"/>
        <v>1820.2</v>
      </c>
      <c r="R42" s="29">
        <v>2276.38</v>
      </c>
      <c r="S42" s="26">
        <f t="shared" si="16"/>
        <v>1493.2073956600002</v>
      </c>
      <c r="T42" s="27">
        <f t="shared" si="15"/>
        <v>-326.99260433999984</v>
      </c>
      <c r="U42" s="3"/>
    </row>
    <row r="43" spans="1:21" ht="21" x14ac:dyDescent="0.4">
      <c r="A43" s="4"/>
      <c r="B43" s="4"/>
      <c r="C43" s="9" t="s">
        <v>61</v>
      </c>
      <c r="D43" s="18" t="s">
        <v>87</v>
      </c>
      <c r="E43" s="19">
        <v>500</v>
      </c>
      <c r="F43" s="18" t="s">
        <v>100</v>
      </c>
      <c r="G43" s="32"/>
      <c r="H43" s="19">
        <v>1891</v>
      </c>
      <c r="I43" s="20">
        <f t="shared" si="8"/>
        <v>-1891</v>
      </c>
      <c r="J43" s="20" t="s">
        <v>17</v>
      </c>
      <c r="K43" s="21">
        <v>40</v>
      </c>
      <c r="L43" s="21">
        <v>1</v>
      </c>
      <c r="M43" s="22">
        <f t="shared" si="9"/>
        <v>9.5968249999999991</v>
      </c>
      <c r="N43" s="23">
        <f t="shared" si="10"/>
        <v>18.91</v>
      </c>
      <c r="O43" s="23">
        <f t="shared" si="11"/>
        <v>69.506824999999992</v>
      </c>
      <c r="P43" s="24">
        <f t="shared" si="12"/>
        <v>1821.4931750000001</v>
      </c>
      <c r="Q43" s="25">
        <f t="shared" si="13"/>
        <v>1831.0900000000001</v>
      </c>
      <c r="R43" s="29">
        <v>2308.08</v>
      </c>
      <c r="S43" s="26">
        <f t="shared" si="16"/>
        <v>1514.0012325600001</v>
      </c>
      <c r="T43" s="27">
        <f t="shared" si="15"/>
        <v>-317.08876744000008</v>
      </c>
      <c r="U43" s="3"/>
    </row>
    <row r="44" spans="1:21" ht="21" x14ac:dyDescent="0.4">
      <c r="A44" s="4"/>
      <c r="B44" s="4"/>
      <c r="C44" s="9" t="s">
        <v>61</v>
      </c>
      <c r="D44" s="18" t="s">
        <v>88</v>
      </c>
      <c r="E44" s="19">
        <v>500</v>
      </c>
      <c r="F44" s="18" t="s">
        <v>100</v>
      </c>
      <c r="G44" s="32"/>
      <c r="H44" s="19">
        <v>1891</v>
      </c>
      <c r="I44" s="20">
        <f t="shared" ref="I44:I48" si="25">+G44-H44</f>
        <v>-1891</v>
      </c>
      <c r="J44" s="20" t="s">
        <v>17</v>
      </c>
      <c r="K44" s="21">
        <v>40</v>
      </c>
      <c r="L44" s="21">
        <v>1</v>
      </c>
      <c r="M44" s="22">
        <f t="shared" ref="M44:M48" si="26">H44*$M$7</f>
        <v>9.5968249999999991</v>
      </c>
      <c r="N44" s="23">
        <f t="shared" ref="N44:N48" si="27">H44*$N$7</f>
        <v>18.91</v>
      </c>
      <c r="O44" s="23">
        <f t="shared" ref="O44:O48" si="28">SUM(K44:N44)</f>
        <v>69.506824999999992</v>
      </c>
      <c r="P44" s="24">
        <f t="shared" ref="P44:P48" si="29">H44-O44</f>
        <v>1821.4931750000001</v>
      </c>
      <c r="Q44" s="25">
        <f t="shared" ref="Q44:Q48" si="30">M44+P44</f>
        <v>1831.0900000000001</v>
      </c>
      <c r="R44" s="29">
        <v>2308.08</v>
      </c>
      <c r="S44" s="26">
        <f t="shared" ref="S44:S45" si="31">R44*$B$2</f>
        <v>1514.0012325600001</v>
      </c>
      <c r="T44" s="27">
        <f t="shared" ref="T44:T48" si="32">S44-Q44</f>
        <v>-317.08876744000008</v>
      </c>
      <c r="U44" s="3"/>
    </row>
    <row r="45" spans="1:21" ht="21" x14ac:dyDescent="0.4">
      <c r="A45" s="4"/>
      <c r="B45" s="4"/>
      <c r="C45" s="9" t="s">
        <v>61</v>
      </c>
      <c r="D45" s="18" t="s">
        <v>95</v>
      </c>
      <c r="E45" s="19">
        <v>250</v>
      </c>
      <c r="F45" s="18" t="s">
        <v>100</v>
      </c>
      <c r="G45" s="32"/>
      <c r="H45" s="19">
        <v>1939</v>
      </c>
      <c r="I45" s="20">
        <f t="shared" si="25"/>
        <v>-1939</v>
      </c>
      <c r="J45" s="20" t="s">
        <v>17</v>
      </c>
      <c r="K45" s="21">
        <v>40</v>
      </c>
      <c r="L45" s="21">
        <v>1</v>
      </c>
      <c r="M45" s="22">
        <f t="shared" si="26"/>
        <v>9.8404249999999998</v>
      </c>
      <c r="N45" s="23">
        <f t="shared" si="27"/>
        <v>19.39</v>
      </c>
      <c r="O45" s="23">
        <f t="shared" si="28"/>
        <v>70.230424999999997</v>
      </c>
      <c r="P45" s="24">
        <f t="shared" si="29"/>
        <v>1868.769575</v>
      </c>
      <c r="Q45" s="25">
        <f t="shared" si="30"/>
        <v>1878.6100000000001</v>
      </c>
      <c r="R45" s="29">
        <v>6403</v>
      </c>
      <c r="S45" s="26">
        <f t="shared" si="31"/>
        <v>4200.0926710000003</v>
      </c>
      <c r="T45" s="27">
        <f t="shared" si="32"/>
        <v>2321.4826710000002</v>
      </c>
      <c r="U45" s="3"/>
    </row>
    <row r="46" spans="1:21" ht="21" x14ac:dyDescent="0.4">
      <c r="A46" s="4"/>
      <c r="B46" s="4"/>
      <c r="C46" s="9" t="s">
        <v>61</v>
      </c>
      <c r="D46" s="18" t="s">
        <v>96</v>
      </c>
      <c r="E46" s="19">
        <v>250</v>
      </c>
      <c r="F46" s="18" t="s">
        <v>100</v>
      </c>
      <c r="G46" s="32"/>
      <c r="H46" s="19">
        <v>1939</v>
      </c>
      <c r="I46" s="20">
        <f t="shared" si="25"/>
        <v>-1939</v>
      </c>
      <c r="J46" s="20" t="s">
        <v>17</v>
      </c>
      <c r="K46" s="21">
        <v>40</v>
      </c>
      <c r="L46" s="21">
        <v>1</v>
      </c>
      <c r="M46" s="22">
        <f t="shared" si="26"/>
        <v>9.8404249999999998</v>
      </c>
      <c r="N46" s="23">
        <f t="shared" si="27"/>
        <v>19.39</v>
      </c>
      <c r="O46" s="23">
        <f t="shared" si="28"/>
        <v>70.230424999999997</v>
      </c>
      <c r="P46" s="24">
        <f t="shared" si="29"/>
        <v>1868.769575</v>
      </c>
      <c r="Q46" s="25">
        <f t="shared" si="30"/>
        <v>1878.6100000000001</v>
      </c>
      <c r="R46" s="29">
        <v>6403</v>
      </c>
      <c r="S46" s="26">
        <f>R46*$B$2</f>
        <v>4200.0926710000003</v>
      </c>
      <c r="T46" s="27">
        <f t="shared" si="32"/>
        <v>2321.4826710000002</v>
      </c>
      <c r="U46" s="3"/>
    </row>
    <row r="47" spans="1:21" ht="21" x14ac:dyDescent="0.4">
      <c r="A47" s="4"/>
      <c r="B47" s="4"/>
      <c r="C47" s="9" t="s">
        <v>61</v>
      </c>
      <c r="D47" s="18" t="s">
        <v>97</v>
      </c>
      <c r="E47" s="19">
        <v>250</v>
      </c>
      <c r="F47" s="18" t="s">
        <v>100</v>
      </c>
      <c r="G47" s="32"/>
      <c r="H47" s="19">
        <v>1939</v>
      </c>
      <c r="I47" s="20">
        <f t="shared" si="25"/>
        <v>-1939</v>
      </c>
      <c r="J47" s="20" t="s">
        <v>17</v>
      </c>
      <c r="K47" s="21">
        <v>40</v>
      </c>
      <c r="L47" s="21">
        <v>1</v>
      </c>
      <c r="M47" s="22">
        <f t="shared" si="26"/>
        <v>9.8404249999999998</v>
      </c>
      <c r="N47" s="23">
        <f t="shared" si="27"/>
        <v>19.39</v>
      </c>
      <c r="O47" s="23">
        <f t="shared" si="28"/>
        <v>70.230424999999997</v>
      </c>
      <c r="P47" s="24">
        <f t="shared" si="29"/>
        <v>1868.769575</v>
      </c>
      <c r="Q47" s="25">
        <f t="shared" si="30"/>
        <v>1878.6100000000001</v>
      </c>
      <c r="R47" s="29">
        <v>6403</v>
      </c>
      <c r="S47" s="26">
        <f>R47*$B$2</f>
        <v>4200.0926710000003</v>
      </c>
      <c r="T47" s="27">
        <f t="shared" si="32"/>
        <v>2321.4826710000002</v>
      </c>
      <c r="U47" s="3"/>
    </row>
    <row r="48" spans="1:21" ht="21" x14ac:dyDescent="0.4">
      <c r="A48" s="4"/>
      <c r="B48" s="4"/>
      <c r="C48" s="9" t="s">
        <v>61</v>
      </c>
      <c r="D48" s="18" t="s">
        <v>98</v>
      </c>
      <c r="E48" s="19">
        <v>250</v>
      </c>
      <c r="F48" s="18" t="s">
        <v>100</v>
      </c>
      <c r="G48" s="32"/>
      <c r="H48" s="19">
        <v>1939</v>
      </c>
      <c r="I48" s="20">
        <f t="shared" si="25"/>
        <v>-1939</v>
      </c>
      <c r="J48" s="20" t="s">
        <v>17</v>
      </c>
      <c r="K48" s="21">
        <v>40</v>
      </c>
      <c r="L48" s="21">
        <v>1</v>
      </c>
      <c r="M48" s="22">
        <f t="shared" si="26"/>
        <v>9.8404249999999998</v>
      </c>
      <c r="N48" s="23">
        <f t="shared" si="27"/>
        <v>19.39</v>
      </c>
      <c r="O48" s="23">
        <f t="shared" si="28"/>
        <v>70.230424999999997</v>
      </c>
      <c r="P48" s="24">
        <f t="shared" si="29"/>
        <v>1868.769575</v>
      </c>
      <c r="Q48" s="25">
        <f t="shared" si="30"/>
        <v>1878.6100000000001</v>
      </c>
      <c r="R48" s="29">
        <v>6403</v>
      </c>
      <c r="S48" s="26">
        <f t="shared" ref="S48" si="33">R48*$B$2</f>
        <v>4200.0926710000003</v>
      </c>
      <c r="T48" s="27">
        <f t="shared" si="32"/>
        <v>2321.4826710000002</v>
      </c>
      <c r="U48" s="3"/>
    </row>
  </sheetData>
  <autoFilter ref="C6:T48" xr:uid="{E179F907-649A-4280-A12C-BA216DEBC8D0}">
    <filterColumn colId="6" showButton="0"/>
  </autoFilter>
  <mergeCells count="1">
    <mergeCell ref="I6:J6"/>
  </mergeCells>
  <pageMargins left="0.7" right="0.7" top="0.75" bottom="0.75" header="0.3" footer="0.3"/>
  <pageSetup paperSize="9" scale="3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CA1A2-3798-485D-9F24-7B7DCBAEEB0A}">
  <sheetPr filterMode="1"/>
  <dimension ref="A2:U51"/>
  <sheetViews>
    <sheetView tabSelected="1" topLeftCell="A3" zoomScaleNormal="100" workbookViewId="0">
      <pane xSplit="8" topLeftCell="P1" activePane="topRight" state="frozen"/>
      <selection pane="topRight" activeCell="F54" sqref="F54"/>
    </sheetView>
  </sheetViews>
  <sheetFormatPr baseColWidth="10" defaultRowHeight="14.4" x14ac:dyDescent="0.3"/>
  <cols>
    <col min="1" max="1" width="14.5546875" bestFit="1" customWidth="1"/>
    <col min="2" max="2" width="4.6640625" customWidth="1"/>
    <col min="3" max="3" width="33.88671875" customWidth="1"/>
    <col min="4" max="4" width="25.88671875" customWidth="1"/>
    <col min="5" max="5" width="17.109375" bestFit="1" customWidth="1"/>
    <col min="6" max="6" width="15.44140625" customWidth="1"/>
    <col min="7" max="7" width="17.109375" bestFit="1" customWidth="1"/>
    <col min="8" max="8" width="17.21875" customWidth="1"/>
    <col min="9" max="9" width="12.109375" bestFit="1" customWidth="1"/>
    <col min="10" max="10" width="19.109375" customWidth="1"/>
    <col min="11" max="11" width="11.44140625" customWidth="1"/>
    <col min="12" max="12" width="9.109375" customWidth="1"/>
    <col min="13" max="13" width="11.33203125" customWidth="1"/>
    <col min="14" max="14" width="13.88671875" bestFit="1" customWidth="1"/>
    <col min="15" max="15" width="13" customWidth="1"/>
    <col min="16" max="16" width="18" customWidth="1"/>
    <col min="17" max="17" width="22.109375" customWidth="1"/>
    <col min="18" max="18" width="19.77734375" hidden="1" customWidth="1"/>
    <col min="19" max="19" width="22.21875" hidden="1" customWidth="1"/>
    <col min="20" max="20" width="15.21875" hidden="1" customWidth="1"/>
  </cols>
  <sheetData>
    <row r="2" spans="1:21" ht="21" x14ac:dyDescent="0.4">
      <c r="A2" s="1" t="s">
        <v>0</v>
      </c>
      <c r="B2" s="2">
        <f>655.957/1000</f>
        <v>0.65595700000000001</v>
      </c>
      <c r="U2" s="3"/>
    </row>
    <row r="3" spans="1:21" ht="21" x14ac:dyDescent="0.4">
      <c r="A3" s="4"/>
      <c r="B3" s="4"/>
      <c r="D3" s="31" t="s">
        <v>42</v>
      </c>
      <c r="F3" s="5"/>
      <c r="G3" s="5"/>
      <c r="L3" s="6"/>
      <c r="Q3" s="7">
        <f>15/655.957</f>
        <v>2.2867352585611556E-2</v>
      </c>
      <c r="U3" s="3"/>
    </row>
    <row r="4" spans="1:21" ht="21" x14ac:dyDescent="0.4">
      <c r="A4" s="4"/>
      <c r="B4" s="4"/>
      <c r="L4" s="6"/>
      <c r="U4" s="3"/>
    </row>
    <row r="5" spans="1:21" ht="21" x14ac:dyDescent="0.4">
      <c r="A5" s="4"/>
      <c r="B5" s="4"/>
      <c r="U5" s="3"/>
    </row>
    <row r="6" spans="1:21" ht="48.6" x14ac:dyDescent="0.4">
      <c r="A6" s="4"/>
      <c r="B6" s="4"/>
      <c r="D6" s="8" t="s">
        <v>1</v>
      </c>
      <c r="E6" s="8" t="s">
        <v>2</v>
      </c>
      <c r="F6" s="8" t="s">
        <v>3</v>
      </c>
      <c r="G6" s="8" t="s">
        <v>4</v>
      </c>
      <c r="H6" s="8" t="s">
        <v>5</v>
      </c>
      <c r="I6" s="74" t="s">
        <v>6</v>
      </c>
      <c r="J6" s="75"/>
      <c r="K6" s="8" t="s">
        <v>7</v>
      </c>
      <c r="L6" s="8" t="s">
        <v>8</v>
      </c>
      <c r="M6" s="8" t="s">
        <v>9</v>
      </c>
      <c r="N6" s="8" t="s">
        <v>10</v>
      </c>
      <c r="O6" s="8" t="s">
        <v>11</v>
      </c>
      <c r="P6" s="8" t="s">
        <v>12</v>
      </c>
      <c r="Q6" s="8" t="s">
        <v>13</v>
      </c>
      <c r="R6" s="8" t="s">
        <v>14</v>
      </c>
      <c r="S6" s="8" t="s">
        <v>15</v>
      </c>
      <c r="T6" s="8" t="s">
        <v>16</v>
      </c>
      <c r="U6" s="3"/>
    </row>
    <row r="7" spans="1:21" ht="21" hidden="1" x14ac:dyDescent="0.4">
      <c r="A7" s="4"/>
      <c r="B7" s="4"/>
      <c r="D7" s="30" t="s">
        <v>20</v>
      </c>
      <c r="E7" s="28">
        <f>SUM(E8:E51)</f>
        <v>15000</v>
      </c>
      <c r="F7" s="9"/>
      <c r="G7" s="9"/>
      <c r="H7" s="9"/>
      <c r="I7" s="10"/>
      <c r="J7" s="10"/>
      <c r="K7" s="11"/>
      <c r="L7" s="12"/>
      <c r="M7" s="13">
        <v>5.0749999999999997E-3</v>
      </c>
      <c r="N7" s="14">
        <v>0.01</v>
      </c>
      <c r="O7" s="15"/>
      <c r="P7" s="16"/>
      <c r="Q7" s="17"/>
      <c r="R7" s="17"/>
      <c r="S7" s="17">
        <f t="shared" ref="S7:S15" si="0">R7*$B$2</f>
        <v>0</v>
      </c>
      <c r="U7" s="3"/>
    </row>
    <row r="8" spans="1:21" ht="21" hidden="1" x14ac:dyDescent="0.4">
      <c r="A8" s="4"/>
      <c r="B8" s="4"/>
      <c r="C8" s="9" t="s">
        <v>37</v>
      </c>
      <c r="D8" s="18" t="s">
        <v>38</v>
      </c>
      <c r="E8" s="19">
        <v>500</v>
      </c>
      <c r="F8" s="18" t="s">
        <v>62</v>
      </c>
      <c r="G8" s="73">
        <v>1940.125</v>
      </c>
      <c r="H8" s="19">
        <v>1878</v>
      </c>
      <c r="I8" s="20">
        <f>+G8-H8</f>
        <v>62.125</v>
      </c>
      <c r="J8" s="20" t="s">
        <v>36</v>
      </c>
      <c r="K8" s="21">
        <v>40</v>
      </c>
      <c r="L8" s="21">
        <v>1</v>
      </c>
      <c r="M8" s="22">
        <f t="shared" ref="M8:M51" si="1">H8*$M$7</f>
        <v>9.5308499999999992</v>
      </c>
      <c r="N8" s="23">
        <f t="shared" ref="N8:N51" si="2">H8*$N$7</f>
        <v>18.78</v>
      </c>
      <c r="O8" s="23">
        <f>SUM(K8:N8)</f>
        <v>69.310850000000002</v>
      </c>
      <c r="P8" s="24">
        <f>H8-O8</f>
        <v>1808.6891499999999</v>
      </c>
      <c r="Q8" s="25">
        <f>M8+P8</f>
        <v>1818.22</v>
      </c>
      <c r="R8" s="72"/>
      <c r="S8" s="26">
        <f>R8*$B$2</f>
        <v>0</v>
      </c>
      <c r="T8" s="27">
        <f>S8-Q8</f>
        <v>-1818.22</v>
      </c>
      <c r="U8" s="3"/>
    </row>
    <row r="9" spans="1:21" ht="21" hidden="1" x14ac:dyDescent="0.4">
      <c r="A9" s="4"/>
      <c r="B9" s="4"/>
      <c r="C9" s="9" t="s">
        <v>37</v>
      </c>
      <c r="D9" s="18" t="s">
        <v>39</v>
      </c>
      <c r="E9" s="19">
        <v>500</v>
      </c>
      <c r="F9" s="18" t="s">
        <v>62</v>
      </c>
      <c r="G9" s="73">
        <v>1940.125</v>
      </c>
      <c r="H9" s="19">
        <v>1878</v>
      </c>
      <c r="I9" s="20">
        <f>+G9-H9</f>
        <v>62.125</v>
      </c>
      <c r="J9" s="20" t="s">
        <v>36</v>
      </c>
      <c r="K9" s="21">
        <v>40</v>
      </c>
      <c r="L9" s="21">
        <v>1</v>
      </c>
      <c r="M9" s="22">
        <f t="shared" si="1"/>
        <v>9.5308499999999992</v>
      </c>
      <c r="N9" s="23">
        <f t="shared" si="2"/>
        <v>18.78</v>
      </c>
      <c r="O9" s="23">
        <f>SUM(K9:N9)</f>
        <v>69.310850000000002</v>
      </c>
      <c r="P9" s="24">
        <f t="shared" ref="P9:P51" si="3">H9-O9</f>
        <v>1808.6891499999999</v>
      </c>
      <c r="Q9" s="25">
        <f>M9+P9</f>
        <v>1818.22</v>
      </c>
      <c r="R9" s="72"/>
      <c r="S9" s="26">
        <f t="shared" si="0"/>
        <v>0</v>
      </c>
      <c r="T9" s="27">
        <f>S9-Q9</f>
        <v>-1818.22</v>
      </c>
      <c r="U9" s="3"/>
    </row>
    <row r="10" spans="1:21" ht="21" hidden="1" x14ac:dyDescent="0.4">
      <c r="A10" s="4"/>
      <c r="B10" s="4"/>
      <c r="C10" s="9" t="s">
        <v>37</v>
      </c>
      <c r="D10" s="18" t="s">
        <v>40</v>
      </c>
      <c r="E10" s="19">
        <v>500</v>
      </c>
      <c r="F10" s="18" t="s">
        <v>62</v>
      </c>
      <c r="G10" s="73">
        <v>1940.125</v>
      </c>
      <c r="H10" s="19">
        <v>1878</v>
      </c>
      <c r="I10" s="20">
        <f t="shared" ref="I10:I51" si="4">+G10-H10</f>
        <v>62.125</v>
      </c>
      <c r="J10" s="20" t="s">
        <v>36</v>
      </c>
      <c r="K10" s="21">
        <v>40</v>
      </c>
      <c r="L10" s="21">
        <v>1</v>
      </c>
      <c r="M10" s="22">
        <f t="shared" si="1"/>
        <v>9.5308499999999992</v>
      </c>
      <c r="N10" s="23">
        <f t="shared" si="2"/>
        <v>18.78</v>
      </c>
      <c r="O10" s="23">
        <f t="shared" ref="O10:O51" si="5">SUM(K10:N10)</f>
        <v>69.310850000000002</v>
      </c>
      <c r="P10" s="24">
        <f t="shared" si="3"/>
        <v>1808.6891499999999</v>
      </c>
      <c r="Q10" s="25">
        <f t="shared" ref="Q10:Q51" si="6">M10+P10</f>
        <v>1818.22</v>
      </c>
      <c r="R10" s="72"/>
      <c r="S10" s="26">
        <f t="shared" si="0"/>
        <v>0</v>
      </c>
      <c r="T10" s="27">
        <f t="shared" ref="T10:T51" si="7">S10-Q10</f>
        <v>-1818.22</v>
      </c>
      <c r="U10" s="3"/>
    </row>
    <row r="11" spans="1:21" ht="21" hidden="1" x14ac:dyDescent="0.4">
      <c r="A11" s="4"/>
      <c r="B11" s="4"/>
      <c r="C11" s="9" t="s">
        <v>37</v>
      </c>
      <c r="D11" s="18" t="s">
        <v>41</v>
      </c>
      <c r="E11" s="19">
        <v>500</v>
      </c>
      <c r="F11" s="18" t="s">
        <v>62</v>
      </c>
      <c r="G11" s="73">
        <v>1940.125</v>
      </c>
      <c r="H11" s="19">
        <v>1878</v>
      </c>
      <c r="I11" s="20">
        <f t="shared" si="4"/>
        <v>62.125</v>
      </c>
      <c r="J11" s="20" t="s">
        <v>36</v>
      </c>
      <c r="K11" s="21">
        <v>40</v>
      </c>
      <c r="L11" s="21">
        <v>1</v>
      </c>
      <c r="M11" s="22">
        <f t="shared" si="1"/>
        <v>9.5308499999999992</v>
      </c>
      <c r="N11" s="23">
        <f t="shared" si="2"/>
        <v>18.78</v>
      </c>
      <c r="O11" s="23">
        <f t="shared" si="5"/>
        <v>69.310850000000002</v>
      </c>
      <c r="P11" s="24">
        <f t="shared" si="3"/>
        <v>1808.6891499999999</v>
      </c>
      <c r="Q11" s="25">
        <f t="shared" si="6"/>
        <v>1818.22</v>
      </c>
      <c r="R11" s="72"/>
      <c r="S11" s="26">
        <f t="shared" si="0"/>
        <v>0</v>
      </c>
      <c r="T11" s="27">
        <f t="shared" si="7"/>
        <v>-1818.22</v>
      </c>
      <c r="U11" s="3"/>
    </row>
    <row r="12" spans="1:21" ht="21" hidden="1" x14ac:dyDescent="0.4">
      <c r="A12" s="4"/>
      <c r="B12" s="4"/>
      <c r="C12" s="9" t="s">
        <v>47</v>
      </c>
      <c r="D12" s="18" t="s">
        <v>43</v>
      </c>
      <c r="E12" s="19">
        <v>250</v>
      </c>
      <c r="F12" s="18" t="s">
        <v>62</v>
      </c>
      <c r="G12" s="73">
        <v>1940.125</v>
      </c>
      <c r="H12" s="19">
        <v>1868</v>
      </c>
      <c r="I12" s="20">
        <f t="shared" si="4"/>
        <v>72.125</v>
      </c>
      <c r="J12" s="20" t="s">
        <v>36</v>
      </c>
      <c r="K12" s="21">
        <v>40</v>
      </c>
      <c r="L12" s="21">
        <v>1</v>
      </c>
      <c r="M12" s="22">
        <f t="shared" si="1"/>
        <v>9.4801000000000002</v>
      </c>
      <c r="N12" s="23">
        <f t="shared" si="2"/>
        <v>18.68</v>
      </c>
      <c r="O12" s="23">
        <f t="shared" si="5"/>
        <v>69.1601</v>
      </c>
      <c r="P12" s="24">
        <f t="shared" si="3"/>
        <v>1798.8398999999999</v>
      </c>
      <c r="Q12" s="25">
        <f t="shared" si="6"/>
        <v>1808.32</v>
      </c>
      <c r="R12" s="72"/>
      <c r="S12" s="26">
        <f t="shared" si="0"/>
        <v>0</v>
      </c>
      <c r="T12" s="27">
        <f t="shared" si="7"/>
        <v>-1808.32</v>
      </c>
      <c r="U12" s="3"/>
    </row>
    <row r="13" spans="1:21" ht="21" hidden="1" x14ac:dyDescent="0.4">
      <c r="A13" s="4"/>
      <c r="B13" s="4"/>
      <c r="C13" s="9" t="s">
        <v>47</v>
      </c>
      <c r="D13" s="18" t="s">
        <v>44</v>
      </c>
      <c r="E13" s="19">
        <v>250</v>
      </c>
      <c r="F13" s="18" t="s">
        <v>62</v>
      </c>
      <c r="G13" s="73">
        <v>1940.125</v>
      </c>
      <c r="H13" s="19">
        <v>1868</v>
      </c>
      <c r="I13" s="20">
        <f t="shared" si="4"/>
        <v>72.125</v>
      </c>
      <c r="J13" s="20" t="s">
        <v>36</v>
      </c>
      <c r="K13" s="21">
        <v>40</v>
      </c>
      <c r="L13" s="21">
        <v>1</v>
      </c>
      <c r="M13" s="22">
        <f t="shared" si="1"/>
        <v>9.4801000000000002</v>
      </c>
      <c r="N13" s="23">
        <f t="shared" si="2"/>
        <v>18.68</v>
      </c>
      <c r="O13" s="23">
        <f t="shared" si="5"/>
        <v>69.1601</v>
      </c>
      <c r="P13" s="24">
        <f t="shared" si="3"/>
        <v>1798.8398999999999</v>
      </c>
      <c r="Q13" s="25">
        <f t="shared" si="6"/>
        <v>1808.32</v>
      </c>
      <c r="R13" s="72"/>
      <c r="S13" s="26">
        <f t="shared" si="0"/>
        <v>0</v>
      </c>
      <c r="T13" s="27">
        <f t="shared" si="7"/>
        <v>-1808.32</v>
      </c>
      <c r="U13" s="3"/>
    </row>
    <row r="14" spans="1:21" ht="21" hidden="1" x14ac:dyDescent="0.4">
      <c r="A14" s="4"/>
      <c r="B14" s="4"/>
      <c r="C14" s="9" t="s">
        <v>47</v>
      </c>
      <c r="D14" s="18" t="s">
        <v>45</v>
      </c>
      <c r="E14" s="19">
        <v>250</v>
      </c>
      <c r="F14" s="18" t="s">
        <v>62</v>
      </c>
      <c r="G14" s="73">
        <v>1940.125</v>
      </c>
      <c r="H14" s="19">
        <v>1868</v>
      </c>
      <c r="I14" s="20">
        <f t="shared" si="4"/>
        <v>72.125</v>
      </c>
      <c r="J14" s="20" t="s">
        <v>36</v>
      </c>
      <c r="K14" s="21">
        <v>40</v>
      </c>
      <c r="L14" s="21">
        <v>1</v>
      </c>
      <c r="M14" s="22">
        <f t="shared" si="1"/>
        <v>9.4801000000000002</v>
      </c>
      <c r="N14" s="23">
        <f t="shared" si="2"/>
        <v>18.68</v>
      </c>
      <c r="O14" s="23">
        <f t="shared" si="5"/>
        <v>69.1601</v>
      </c>
      <c r="P14" s="24">
        <f t="shared" si="3"/>
        <v>1798.8398999999999</v>
      </c>
      <c r="Q14" s="25">
        <f t="shared" si="6"/>
        <v>1808.32</v>
      </c>
      <c r="R14" s="72"/>
      <c r="S14" s="26">
        <f t="shared" si="0"/>
        <v>0</v>
      </c>
      <c r="T14" s="27">
        <f t="shared" si="7"/>
        <v>-1808.32</v>
      </c>
      <c r="U14" s="3"/>
    </row>
    <row r="15" spans="1:21" ht="21" hidden="1" x14ac:dyDescent="0.4">
      <c r="A15" s="4"/>
      <c r="B15" s="4"/>
      <c r="C15" s="9" t="s">
        <v>47</v>
      </c>
      <c r="D15" s="18" t="s">
        <v>46</v>
      </c>
      <c r="E15" s="19">
        <v>250</v>
      </c>
      <c r="F15" s="18" t="s">
        <v>62</v>
      </c>
      <c r="G15" s="73">
        <v>1940.125</v>
      </c>
      <c r="H15" s="19">
        <v>1868</v>
      </c>
      <c r="I15" s="20">
        <f t="shared" si="4"/>
        <v>72.125</v>
      </c>
      <c r="J15" s="20" t="s">
        <v>36</v>
      </c>
      <c r="K15" s="21">
        <v>40</v>
      </c>
      <c r="L15" s="21">
        <v>1</v>
      </c>
      <c r="M15" s="22">
        <f t="shared" si="1"/>
        <v>9.4801000000000002</v>
      </c>
      <c r="N15" s="23">
        <f t="shared" si="2"/>
        <v>18.68</v>
      </c>
      <c r="O15" s="23">
        <f t="shared" si="5"/>
        <v>69.1601</v>
      </c>
      <c r="P15" s="24">
        <f t="shared" si="3"/>
        <v>1798.8398999999999</v>
      </c>
      <c r="Q15" s="25">
        <f t="shared" si="6"/>
        <v>1808.32</v>
      </c>
      <c r="R15" s="72"/>
      <c r="S15" s="26">
        <f t="shared" si="0"/>
        <v>0</v>
      </c>
      <c r="T15" s="27">
        <f t="shared" si="7"/>
        <v>-1808.32</v>
      </c>
      <c r="U15" s="3"/>
    </row>
    <row r="16" spans="1:21" ht="21" x14ac:dyDescent="0.4">
      <c r="A16" s="4"/>
      <c r="B16" s="4"/>
      <c r="C16" s="9" t="s">
        <v>19</v>
      </c>
      <c r="D16" s="18" t="s">
        <v>48</v>
      </c>
      <c r="E16" s="19">
        <v>1000</v>
      </c>
      <c r="F16" s="18" t="s">
        <v>62</v>
      </c>
      <c r="G16" s="73">
        <v>1940.125</v>
      </c>
      <c r="H16" s="19">
        <v>1864</v>
      </c>
      <c r="I16" s="20">
        <f>+G16-H16</f>
        <v>76.125</v>
      </c>
      <c r="J16" s="20" t="s">
        <v>36</v>
      </c>
      <c r="K16" s="21">
        <v>40</v>
      </c>
      <c r="L16" s="21">
        <v>1</v>
      </c>
      <c r="M16" s="22">
        <f t="shared" si="1"/>
        <v>9.4597999999999995</v>
      </c>
      <c r="N16" s="23">
        <f t="shared" si="2"/>
        <v>18.64</v>
      </c>
      <c r="O16" s="23">
        <f t="shared" si="5"/>
        <v>69.099800000000002</v>
      </c>
      <c r="P16" s="24">
        <f t="shared" si="3"/>
        <v>1794.9002</v>
      </c>
      <c r="Q16" s="25">
        <f t="shared" si="6"/>
        <v>1804.3600000000001</v>
      </c>
      <c r="R16" s="72"/>
      <c r="S16" s="26">
        <f>R16*$B$2</f>
        <v>0</v>
      </c>
      <c r="T16" s="27">
        <f t="shared" si="7"/>
        <v>-1804.3600000000001</v>
      </c>
      <c r="U16" s="3"/>
    </row>
    <row r="17" spans="1:21" ht="21" hidden="1" x14ac:dyDescent="0.4">
      <c r="A17" s="4"/>
      <c r="B17" s="4"/>
      <c r="C17" s="9" t="s">
        <v>61</v>
      </c>
      <c r="D17" s="18" t="s">
        <v>49</v>
      </c>
      <c r="E17" s="19">
        <v>250</v>
      </c>
      <c r="F17" s="18" t="s">
        <v>62</v>
      </c>
      <c r="G17" s="73">
        <v>1940.125</v>
      </c>
      <c r="H17" s="19">
        <v>1868</v>
      </c>
      <c r="I17" s="20">
        <f t="shared" si="4"/>
        <v>72.125</v>
      </c>
      <c r="J17" s="20" t="s">
        <v>36</v>
      </c>
      <c r="K17" s="21">
        <v>40</v>
      </c>
      <c r="L17" s="21">
        <v>1</v>
      </c>
      <c r="M17" s="22">
        <v>21.391124999999999</v>
      </c>
      <c r="N17" s="23">
        <v>42.15</v>
      </c>
      <c r="O17" s="23">
        <v>104.54112499999999</v>
      </c>
      <c r="P17" s="24">
        <f t="shared" si="3"/>
        <v>1763.458875</v>
      </c>
      <c r="Q17" s="25">
        <f>M17+P17</f>
        <v>1784.8500000000001</v>
      </c>
      <c r="R17" s="72"/>
      <c r="S17" s="26">
        <f t="shared" ref="S17:S51" si="8">R17*$B$2</f>
        <v>0</v>
      </c>
      <c r="T17" s="27">
        <f>S17-Q17</f>
        <v>-1784.8500000000001</v>
      </c>
      <c r="U17" s="3"/>
    </row>
    <row r="18" spans="1:21" ht="21" hidden="1" x14ac:dyDescent="0.4">
      <c r="A18" s="4"/>
      <c r="B18" s="4"/>
      <c r="C18" s="9" t="s">
        <v>61</v>
      </c>
      <c r="D18" s="18" t="s">
        <v>50</v>
      </c>
      <c r="E18" s="19">
        <v>250</v>
      </c>
      <c r="F18" s="18" t="s">
        <v>62</v>
      </c>
      <c r="G18" s="73">
        <v>1940.125</v>
      </c>
      <c r="H18" s="19">
        <v>1868</v>
      </c>
      <c r="I18" s="20">
        <f t="shared" si="4"/>
        <v>72.125</v>
      </c>
      <c r="J18" s="20" t="s">
        <v>36</v>
      </c>
      <c r="K18" s="21">
        <v>40</v>
      </c>
      <c r="L18" s="21">
        <v>1</v>
      </c>
      <c r="M18" s="22">
        <v>21.391124999999999</v>
      </c>
      <c r="N18" s="23">
        <v>42.15</v>
      </c>
      <c r="O18" s="23">
        <v>104.54112499999999</v>
      </c>
      <c r="P18" s="24">
        <f t="shared" si="3"/>
        <v>1763.458875</v>
      </c>
      <c r="Q18" s="25">
        <f t="shared" si="6"/>
        <v>1784.8500000000001</v>
      </c>
      <c r="R18" s="72"/>
      <c r="S18" s="26">
        <f t="shared" si="8"/>
        <v>0</v>
      </c>
      <c r="T18" s="27">
        <f t="shared" si="7"/>
        <v>-1784.8500000000001</v>
      </c>
      <c r="U18" s="3"/>
    </row>
    <row r="19" spans="1:21" ht="21" hidden="1" x14ac:dyDescent="0.4">
      <c r="A19" s="4"/>
      <c r="B19" s="4"/>
      <c r="C19" s="9" t="s">
        <v>61</v>
      </c>
      <c r="D19" s="18" t="s">
        <v>51</v>
      </c>
      <c r="E19" s="19">
        <v>250</v>
      </c>
      <c r="F19" s="18" t="s">
        <v>62</v>
      </c>
      <c r="G19" s="73">
        <v>1940.125</v>
      </c>
      <c r="H19" s="19">
        <v>1868</v>
      </c>
      <c r="I19" s="20">
        <f t="shared" si="4"/>
        <v>72.125</v>
      </c>
      <c r="J19" s="20" t="s">
        <v>36</v>
      </c>
      <c r="K19" s="21">
        <v>40</v>
      </c>
      <c r="L19" s="21">
        <v>1</v>
      </c>
      <c r="M19" s="22">
        <v>21.391124999999999</v>
      </c>
      <c r="N19" s="23">
        <v>42.15</v>
      </c>
      <c r="O19" s="23">
        <v>104.54112499999999</v>
      </c>
      <c r="P19" s="24">
        <f t="shared" si="3"/>
        <v>1763.458875</v>
      </c>
      <c r="Q19" s="25">
        <f t="shared" si="6"/>
        <v>1784.8500000000001</v>
      </c>
      <c r="R19" s="72"/>
      <c r="S19" s="26">
        <f t="shared" si="8"/>
        <v>0</v>
      </c>
      <c r="T19" s="27">
        <f t="shared" si="7"/>
        <v>-1784.8500000000001</v>
      </c>
      <c r="U19" s="3"/>
    </row>
    <row r="20" spans="1:21" ht="21" hidden="1" x14ac:dyDescent="0.4">
      <c r="A20" s="4"/>
      <c r="B20" s="4"/>
      <c r="C20" s="9" t="s">
        <v>61</v>
      </c>
      <c r="D20" s="18" t="s">
        <v>52</v>
      </c>
      <c r="E20" s="19">
        <v>250</v>
      </c>
      <c r="F20" s="18" t="s">
        <v>62</v>
      </c>
      <c r="G20" s="73">
        <v>1940.125</v>
      </c>
      <c r="H20" s="19">
        <v>1868</v>
      </c>
      <c r="I20" s="20">
        <f t="shared" si="4"/>
        <v>72.125</v>
      </c>
      <c r="J20" s="20" t="s">
        <v>36</v>
      </c>
      <c r="K20" s="21">
        <v>40</v>
      </c>
      <c r="L20" s="21">
        <v>1</v>
      </c>
      <c r="M20" s="22">
        <v>21.391124999999999</v>
      </c>
      <c r="N20" s="23">
        <v>42.15</v>
      </c>
      <c r="O20" s="23">
        <v>104.54112499999999</v>
      </c>
      <c r="P20" s="24">
        <f t="shared" si="3"/>
        <v>1763.458875</v>
      </c>
      <c r="Q20" s="25">
        <f t="shared" si="6"/>
        <v>1784.8500000000001</v>
      </c>
      <c r="R20" s="72"/>
      <c r="S20" s="26">
        <f t="shared" si="8"/>
        <v>0</v>
      </c>
      <c r="T20" s="27">
        <f t="shared" si="7"/>
        <v>-1784.8500000000001</v>
      </c>
      <c r="U20" s="3"/>
    </row>
    <row r="21" spans="1:21" ht="21" hidden="1" x14ac:dyDescent="0.4">
      <c r="A21" s="4"/>
      <c r="B21" s="4"/>
      <c r="C21" s="9" t="s">
        <v>61</v>
      </c>
      <c r="D21" s="18" t="s">
        <v>53</v>
      </c>
      <c r="E21" s="19">
        <v>250</v>
      </c>
      <c r="F21" s="18" t="s">
        <v>62</v>
      </c>
      <c r="G21" s="73">
        <v>1940.125</v>
      </c>
      <c r="H21" s="19">
        <v>1868</v>
      </c>
      <c r="I21" s="20">
        <f t="shared" si="4"/>
        <v>72.125</v>
      </c>
      <c r="J21" s="20" t="s">
        <v>36</v>
      </c>
      <c r="K21" s="21">
        <v>40</v>
      </c>
      <c r="L21" s="21">
        <v>1</v>
      </c>
      <c r="M21" s="22">
        <v>21.391124999999999</v>
      </c>
      <c r="N21" s="23">
        <v>42.15</v>
      </c>
      <c r="O21" s="23">
        <v>104.54112499999999</v>
      </c>
      <c r="P21" s="24">
        <f t="shared" si="3"/>
        <v>1763.458875</v>
      </c>
      <c r="Q21" s="25">
        <f t="shared" si="6"/>
        <v>1784.8500000000001</v>
      </c>
      <c r="R21" s="72"/>
      <c r="S21" s="26">
        <f t="shared" si="8"/>
        <v>0</v>
      </c>
      <c r="T21" s="27">
        <f t="shared" si="7"/>
        <v>-1784.8500000000001</v>
      </c>
      <c r="U21" s="3"/>
    </row>
    <row r="22" spans="1:21" ht="21" hidden="1" x14ac:dyDescent="0.4">
      <c r="A22" s="4"/>
      <c r="B22" s="4"/>
      <c r="C22" s="9" t="s">
        <v>61</v>
      </c>
      <c r="D22" s="18" t="s">
        <v>54</v>
      </c>
      <c r="E22" s="19">
        <v>250</v>
      </c>
      <c r="F22" s="18" t="s">
        <v>62</v>
      </c>
      <c r="G22" s="73">
        <v>1940.125</v>
      </c>
      <c r="H22" s="19">
        <v>1868</v>
      </c>
      <c r="I22" s="20">
        <f t="shared" si="4"/>
        <v>72.125</v>
      </c>
      <c r="J22" s="20" t="s">
        <v>36</v>
      </c>
      <c r="K22" s="21">
        <v>40</v>
      </c>
      <c r="L22" s="21">
        <v>1</v>
      </c>
      <c r="M22" s="22">
        <v>21.391124999999999</v>
      </c>
      <c r="N22" s="23">
        <v>42.15</v>
      </c>
      <c r="O22" s="23">
        <v>104.54112499999999</v>
      </c>
      <c r="P22" s="24">
        <f t="shared" si="3"/>
        <v>1763.458875</v>
      </c>
      <c r="Q22" s="25">
        <f t="shared" si="6"/>
        <v>1784.8500000000001</v>
      </c>
      <c r="R22" s="72"/>
      <c r="S22" s="26">
        <f t="shared" si="8"/>
        <v>0</v>
      </c>
      <c r="T22" s="27">
        <f t="shared" si="7"/>
        <v>-1784.8500000000001</v>
      </c>
      <c r="U22" s="3"/>
    </row>
    <row r="23" spans="1:21" ht="21" hidden="1" x14ac:dyDescent="0.4">
      <c r="A23" s="4"/>
      <c r="B23" s="4"/>
      <c r="C23" s="9" t="s">
        <v>61</v>
      </c>
      <c r="D23" s="18" t="s">
        <v>55</v>
      </c>
      <c r="E23" s="19">
        <v>500</v>
      </c>
      <c r="F23" s="18" t="s">
        <v>62</v>
      </c>
      <c r="G23" s="73">
        <v>1940.125</v>
      </c>
      <c r="H23" s="19">
        <v>1878</v>
      </c>
      <c r="I23" s="20">
        <f t="shared" si="4"/>
        <v>62.125</v>
      </c>
      <c r="J23" s="20" t="s">
        <v>36</v>
      </c>
      <c r="K23" s="21">
        <v>40</v>
      </c>
      <c r="L23" s="21">
        <v>1</v>
      </c>
      <c r="M23" s="22">
        <v>21.391124999999999</v>
      </c>
      <c r="N23" s="23">
        <v>42.15</v>
      </c>
      <c r="O23" s="23">
        <v>104.54112499999999</v>
      </c>
      <c r="P23" s="24">
        <f t="shared" si="3"/>
        <v>1773.458875</v>
      </c>
      <c r="Q23" s="25">
        <f t="shared" si="6"/>
        <v>1794.8500000000001</v>
      </c>
      <c r="R23" s="72"/>
      <c r="S23" s="26">
        <f t="shared" si="8"/>
        <v>0</v>
      </c>
      <c r="T23" s="27">
        <f t="shared" si="7"/>
        <v>-1794.8500000000001</v>
      </c>
      <c r="U23" s="3"/>
    </row>
    <row r="24" spans="1:21" ht="21" hidden="1" x14ac:dyDescent="0.4">
      <c r="A24" s="4"/>
      <c r="B24" s="4"/>
      <c r="C24" s="9" t="s">
        <v>61</v>
      </c>
      <c r="D24" s="18" t="s">
        <v>56</v>
      </c>
      <c r="E24" s="19">
        <v>500</v>
      </c>
      <c r="F24" s="18" t="s">
        <v>62</v>
      </c>
      <c r="G24" s="73">
        <v>1940.125</v>
      </c>
      <c r="H24" s="19">
        <v>1878</v>
      </c>
      <c r="I24" s="20">
        <f t="shared" si="4"/>
        <v>62.125</v>
      </c>
      <c r="J24" s="20" t="s">
        <v>36</v>
      </c>
      <c r="K24" s="21">
        <v>40</v>
      </c>
      <c r="L24" s="21">
        <v>1</v>
      </c>
      <c r="M24" s="22">
        <v>21.391124999999999</v>
      </c>
      <c r="N24" s="23">
        <v>42.15</v>
      </c>
      <c r="O24" s="23">
        <v>104.54112499999999</v>
      </c>
      <c r="P24" s="24">
        <f t="shared" si="3"/>
        <v>1773.458875</v>
      </c>
      <c r="Q24" s="25">
        <f t="shared" si="6"/>
        <v>1794.8500000000001</v>
      </c>
      <c r="R24" s="72"/>
      <c r="S24" s="26">
        <f t="shared" si="8"/>
        <v>0</v>
      </c>
      <c r="T24" s="27">
        <f t="shared" si="7"/>
        <v>-1794.8500000000001</v>
      </c>
      <c r="U24" s="3"/>
    </row>
    <row r="25" spans="1:21" ht="21" hidden="1" x14ac:dyDescent="0.4">
      <c r="A25" s="4"/>
      <c r="B25" s="4"/>
      <c r="C25" s="9" t="s">
        <v>61</v>
      </c>
      <c r="D25" s="18" t="s">
        <v>57</v>
      </c>
      <c r="E25" s="19">
        <v>250</v>
      </c>
      <c r="F25" s="18" t="s">
        <v>62</v>
      </c>
      <c r="G25" s="73">
        <v>1940.125</v>
      </c>
      <c r="H25" s="19">
        <v>1929</v>
      </c>
      <c r="I25" s="20">
        <f t="shared" si="4"/>
        <v>11.125</v>
      </c>
      <c r="J25" s="20" t="s">
        <v>36</v>
      </c>
      <c r="K25" s="21">
        <v>40</v>
      </c>
      <c r="L25" s="21">
        <v>1</v>
      </c>
      <c r="M25" s="22">
        <v>21.391124999999999</v>
      </c>
      <c r="N25" s="23">
        <v>42.15</v>
      </c>
      <c r="O25" s="23">
        <v>104.54112499999999</v>
      </c>
      <c r="P25" s="24">
        <f t="shared" si="3"/>
        <v>1824.458875</v>
      </c>
      <c r="Q25" s="25">
        <f t="shared" si="6"/>
        <v>1845.8500000000001</v>
      </c>
      <c r="R25" s="72"/>
      <c r="S25" s="26">
        <f t="shared" si="8"/>
        <v>0</v>
      </c>
      <c r="T25" s="27">
        <f t="shared" si="7"/>
        <v>-1845.8500000000001</v>
      </c>
      <c r="U25" s="3"/>
    </row>
    <row r="26" spans="1:21" ht="21" hidden="1" x14ac:dyDescent="0.4">
      <c r="A26" s="4"/>
      <c r="B26" s="4"/>
      <c r="C26" s="9" t="s">
        <v>61</v>
      </c>
      <c r="D26" s="18" t="s">
        <v>58</v>
      </c>
      <c r="E26" s="19">
        <v>250</v>
      </c>
      <c r="F26" s="18" t="s">
        <v>62</v>
      </c>
      <c r="G26" s="73">
        <v>1940.125</v>
      </c>
      <c r="H26" s="19">
        <v>1929</v>
      </c>
      <c r="I26" s="20">
        <f t="shared" si="4"/>
        <v>11.125</v>
      </c>
      <c r="J26" s="20" t="s">
        <v>36</v>
      </c>
      <c r="K26" s="21">
        <v>40</v>
      </c>
      <c r="L26" s="21">
        <v>1</v>
      </c>
      <c r="M26" s="22">
        <v>21.391124999999999</v>
      </c>
      <c r="N26" s="23">
        <v>42.15</v>
      </c>
      <c r="O26" s="23">
        <v>104.54112499999999</v>
      </c>
      <c r="P26" s="24">
        <f t="shared" si="3"/>
        <v>1824.458875</v>
      </c>
      <c r="Q26" s="25">
        <f t="shared" si="6"/>
        <v>1845.8500000000001</v>
      </c>
      <c r="R26" s="72"/>
      <c r="S26" s="26">
        <f t="shared" si="8"/>
        <v>0</v>
      </c>
      <c r="T26" s="27">
        <f t="shared" si="7"/>
        <v>-1845.8500000000001</v>
      </c>
      <c r="U26" s="3"/>
    </row>
    <row r="27" spans="1:21" ht="21" hidden="1" x14ac:dyDescent="0.4">
      <c r="A27" s="4"/>
      <c r="B27" s="4"/>
      <c r="C27" s="9" t="s">
        <v>61</v>
      </c>
      <c r="D27" s="18" t="s">
        <v>59</v>
      </c>
      <c r="E27" s="19">
        <v>250</v>
      </c>
      <c r="F27" s="18" t="s">
        <v>62</v>
      </c>
      <c r="G27" s="73">
        <v>1940.125</v>
      </c>
      <c r="H27" s="19">
        <v>1929</v>
      </c>
      <c r="I27" s="20">
        <f t="shared" si="4"/>
        <v>11.125</v>
      </c>
      <c r="J27" s="20" t="s">
        <v>36</v>
      </c>
      <c r="K27" s="21">
        <v>40</v>
      </c>
      <c r="L27" s="21">
        <v>1</v>
      </c>
      <c r="M27" s="22">
        <f t="shared" si="1"/>
        <v>9.789674999999999</v>
      </c>
      <c r="N27" s="23">
        <f t="shared" si="2"/>
        <v>19.29</v>
      </c>
      <c r="O27" s="23">
        <f t="shared" si="5"/>
        <v>70.079675000000009</v>
      </c>
      <c r="P27" s="24">
        <f t="shared" si="3"/>
        <v>1858.920325</v>
      </c>
      <c r="Q27" s="25">
        <f t="shared" si="6"/>
        <v>1868.71</v>
      </c>
      <c r="R27" s="72"/>
      <c r="S27" s="26">
        <f t="shared" si="8"/>
        <v>0</v>
      </c>
      <c r="T27" s="27">
        <f t="shared" si="7"/>
        <v>-1868.71</v>
      </c>
      <c r="U27" s="3"/>
    </row>
    <row r="28" spans="1:21" ht="21" hidden="1" x14ac:dyDescent="0.4">
      <c r="A28" s="4"/>
      <c r="B28" s="4"/>
      <c r="C28" s="9" t="s">
        <v>61</v>
      </c>
      <c r="D28" s="18" t="s">
        <v>60</v>
      </c>
      <c r="E28" s="19">
        <v>250</v>
      </c>
      <c r="F28" s="18" t="s">
        <v>62</v>
      </c>
      <c r="G28" s="73">
        <v>1940.125</v>
      </c>
      <c r="H28" s="19">
        <v>1929</v>
      </c>
      <c r="I28" s="20">
        <f t="shared" si="4"/>
        <v>11.125</v>
      </c>
      <c r="J28" s="20" t="s">
        <v>36</v>
      </c>
      <c r="K28" s="21">
        <v>40</v>
      </c>
      <c r="L28" s="21">
        <v>1</v>
      </c>
      <c r="M28" s="22">
        <f t="shared" si="1"/>
        <v>9.789674999999999</v>
      </c>
      <c r="N28" s="23">
        <f t="shared" si="2"/>
        <v>19.29</v>
      </c>
      <c r="O28" s="23">
        <f t="shared" si="5"/>
        <v>70.079675000000009</v>
      </c>
      <c r="P28" s="24">
        <f t="shared" si="3"/>
        <v>1858.920325</v>
      </c>
      <c r="Q28" s="25">
        <f t="shared" si="6"/>
        <v>1868.71</v>
      </c>
      <c r="R28" s="72"/>
      <c r="S28" s="26">
        <f t="shared" si="8"/>
        <v>0</v>
      </c>
      <c r="T28" s="27">
        <f t="shared" si="7"/>
        <v>-1868.71</v>
      </c>
      <c r="U28" s="3"/>
    </row>
    <row r="29" spans="1:21" ht="21" hidden="1" x14ac:dyDescent="0.4">
      <c r="A29" s="4"/>
      <c r="B29" s="4"/>
      <c r="C29" s="9" t="s">
        <v>37</v>
      </c>
      <c r="D29" s="18" t="s">
        <v>89</v>
      </c>
      <c r="E29" s="19">
        <v>500</v>
      </c>
      <c r="F29" s="18" t="s">
        <v>100</v>
      </c>
      <c r="G29" s="73">
        <v>1940.125</v>
      </c>
      <c r="H29" s="19">
        <v>1891</v>
      </c>
      <c r="I29" s="20">
        <f t="shared" si="4"/>
        <v>49.125</v>
      </c>
      <c r="J29" s="20" t="s">
        <v>36</v>
      </c>
      <c r="K29" s="21">
        <v>40</v>
      </c>
      <c r="L29" s="21">
        <v>1</v>
      </c>
      <c r="M29" s="22">
        <f t="shared" si="1"/>
        <v>9.5968249999999991</v>
      </c>
      <c r="N29" s="23">
        <f t="shared" si="2"/>
        <v>18.91</v>
      </c>
      <c r="O29" s="23">
        <f t="shared" si="5"/>
        <v>69.506824999999992</v>
      </c>
      <c r="P29" s="24">
        <f t="shared" si="3"/>
        <v>1821.4931750000001</v>
      </c>
      <c r="Q29" s="25">
        <f t="shared" si="6"/>
        <v>1831.0900000000001</v>
      </c>
      <c r="R29" s="72"/>
      <c r="S29" s="26">
        <f t="shared" si="8"/>
        <v>0</v>
      </c>
      <c r="T29" s="27">
        <f t="shared" si="7"/>
        <v>-1831.0900000000001</v>
      </c>
      <c r="U29" s="3"/>
    </row>
    <row r="30" spans="1:21" ht="21" hidden="1" x14ac:dyDescent="0.4">
      <c r="A30" s="4"/>
      <c r="B30" s="4"/>
      <c r="C30" s="9" t="s">
        <v>37</v>
      </c>
      <c r="D30" s="18" t="s">
        <v>90</v>
      </c>
      <c r="E30" s="19">
        <v>500</v>
      </c>
      <c r="F30" s="18" t="s">
        <v>100</v>
      </c>
      <c r="G30" s="73">
        <v>1940.125</v>
      </c>
      <c r="H30" s="19">
        <v>1891</v>
      </c>
      <c r="I30" s="20">
        <f t="shared" si="4"/>
        <v>49.125</v>
      </c>
      <c r="J30" s="20" t="s">
        <v>36</v>
      </c>
      <c r="K30" s="21">
        <v>40</v>
      </c>
      <c r="L30" s="21">
        <v>1</v>
      </c>
      <c r="M30" s="22">
        <f t="shared" si="1"/>
        <v>9.5968249999999991</v>
      </c>
      <c r="N30" s="23">
        <f t="shared" si="2"/>
        <v>18.91</v>
      </c>
      <c r="O30" s="23">
        <f t="shared" si="5"/>
        <v>69.506824999999992</v>
      </c>
      <c r="P30" s="24">
        <f t="shared" si="3"/>
        <v>1821.4931750000001</v>
      </c>
      <c r="Q30" s="25">
        <f t="shared" si="6"/>
        <v>1831.0900000000001</v>
      </c>
      <c r="R30" s="72"/>
      <c r="S30" s="26">
        <f t="shared" si="8"/>
        <v>0</v>
      </c>
      <c r="T30" s="27">
        <f t="shared" si="7"/>
        <v>-1831.0900000000001</v>
      </c>
      <c r="U30" s="3"/>
    </row>
    <row r="31" spans="1:21" ht="21" hidden="1" x14ac:dyDescent="0.4">
      <c r="A31" s="4"/>
      <c r="B31" s="4"/>
      <c r="C31" s="9" t="s">
        <v>47</v>
      </c>
      <c r="D31" s="18" t="s">
        <v>83</v>
      </c>
      <c r="E31" s="19">
        <v>250</v>
      </c>
      <c r="F31" s="18" t="s">
        <v>100</v>
      </c>
      <c r="G31" s="73">
        <v>1940.125</v>
      </c>
      <c r="H31" s="19">
        <v>1880</v>
      </c>
      <c r="I31" s="20">
        <f t="shared" si="4"/>
        <v>60.125</v>
      </c>
      <c r="J31" s="20" t="s">
        <v>36</v>
      </c>
      <c r="K31" s="21">
        <v>40</v>
      </c>
      <c r="L31" s="21">
        <v>1</v>
      </c>
      <c r="M31" s="22">
        <f t="shared" si="1"/>
        <v>9.5409999999999986</v>
      </c>
      <c r="N31" s="23">
        <f t="shared" si="2"/>
        <v>18.8</v>
      </c>
      <c r="O31" s="23">
        <f t="shared" si="5"/>
        <v>69.340999999999994</v>
      </c>
      <c r="P31" s="24">
        <f t="shared" si="3"/>
        <v>1810.6590000000001</v>
      </c>
      <c r="Q31" s="25">
        <f t="shared" si="6"/>
        <v>1820.2</v>
      </c>
      <c r="R31" s="72"/>
      <c r="S31" s="26">
        <f t="shared" si="8"/>
        <v>0</v>
      </c>
      <c r="T31" s="27">
        <f t="shared" si="7"/>
        <v>-1820.2</v>
      </c>
      <c r="U31" s="3"/>
    </row>
    <row r="32" spans="1:21" ht="21" hidden="1" x14ac:dyDescent="0.4">
      <c r="A32" s="4"/>
      <c r="B32" s="4"/>
      <c r="C32" s="9" t="s">
        <v>47</v>
      </c>
      <c r="D32" s="18" t="s">
        <v>84</v>
      </c>
      <c r="E32" s="19">
        <v>250</v>
      </c>
      <c r="F32" s="18" t="s">
        <v>100</v>
      </c>
      <c r="G32" s="73">
        <v>1940.125</v>
      </c>
      <c r="H32" s="19">
        <v>1880</v>
      </c>
      <c r="I32" s="20">
        <f t="shared" si="4"/>
        <v>60.125</v>
      </c>
      <c r="J32" s="20" t="s">
        <v>36</v>
      </c>
      <c r="K32" s="21">
        <v>40</v>
      </c>
      <c r="L32" s="21">
        <v>1</v>
      </c>
      <c r="M32" s="22">
        <f t="shared" si="1"/>
        <v>9.5409999999999986</v>
      </c>
      <c r="N32" s="23">
        <f t="shared" si="2"/>
        <v>18.8</v>
      </c>
      <c r="O32" s="23">
        <f t="shared" si="5"/>
        <v>69.340999999999994</v>
      </c>
      <c r="P32" s="24">
        <f t="shared" si="3"/>
        <v>1810.6590000000001</v>
      </c>
      <c r="Q32" s="25">
        <f t="shared" si="6"/>
        <v>1820.2</v>
      </c>
      <c r="R32" s="72"/>
      <c r="S32" s="26">
        <f t="shared" si="8"/>
        <v>0</v>
      </c>
      <c r="T32" s="27">
        <f t="shared" si="7"/>
        <v>-1820.2</v>
      </c>
      <c r="U32" s="3"/>
    </row>
    <row r="33" spans="1:21" ht="21" hidden="1" x14ac:dyDescent="0.4">
      <c r="A33" s="4"/>
      <c r="B33" s="4"/>
      <c r="C33" s="9" t="s">
        <v>47</v>
      </c>
      <c r="D33" s="18" t="s">
        <v>85</v>
      </c>
      <c r="E33" s="19">
        <v>250</v>
      </c>
      <c r="F33" s="18" t="s">
        <v>100</v>
      </c>
      <c r="G33" s="73">
        <v>1940.125</v>
      </c>
      <c r="H33" s="19">
        <v>1880</v>
      </c>
      <c r="I33" s="20">
        <f t="shared" si="4"/>
        <v>60.125</v>
      </c>
      <c r="J33" s="20" t="s">
        <v>36</v>
      </c>
      <c r="K33" s="21">
        <v>40</v>
      </c>
      <c r="L33" s="21">
        <v>1</v>
      </c>
      <c r="M33" s="22">
        <f t="shared" si="1"/>
        <v>9.5409999999999986</v>
      </c>
      <c r="N33" s="23">
        <f t="shared" si="2"/>
        <v>18.8</v>
      </c>
      <c r="O33" s="23">
        <f t="shared" si="5"/>
        <v>69.340999999999994</v>
      </c>
      <c r="P33" s="24">
        <f t="shared" si="3"/>
        <v>1810.6590000000001</v>
      </c>
      <c r="Q33" s="25">
        <f t="shared" si="6"/>
        <v>1820.2</v>
      </c>
      <c r="R33" s="72"/>
      <c r="S33" s="26">
        <f t="shared" si="8"/>
        <v>0</v>
      </c>
      <c r="T33" s="27">
        <f t="shared" si="7"/>
        <v>-1820.2</v>
      </c>
      <c r="U33" s="3"/>
    </row>
    <row r="34" spans="1:21" ht="21" hidden="1" x14ac:dyDescent="0.4">
      <c r="A34" s="4"/>
      <c r="B34" s="4"/>
      <c r="C34" s="9" t="s">
        <v>47</v>
      </c>
      <c r="D34" s="18" t="s">
        <v>86</v>
      </c>
      <c r="E34" s="19">
        <v>250</v>
      </c>
      <c r="F34" s="18" t="s">
        <v>100</v>
      </c>
      <c r="G34" s="73">
        <v>1940.125</v>
      </c>
      <c r="H34" s="19">
        <v>1880</v>
      </c>
      <c r="I34" s="20">
        <f t="shared" si="4"/>
        <v>60.125</v>
      </c>
      <c r="J34" s="20" t="s">
        <v>36</v>
      </c>
      <c r="K34" s="21">
        <v>40</v>
      </c>
      <c r="L34" s="21">
        <v>1</v>
      </c>
      <c r="M34" s="22">
        <f t="shared" si="1"/>
        <v>9.5409999999999986</v>
      </c>
      <c r="N34" s="23">
        <f t="shared" si="2"/>
        <v>18.8</v>
      </c>
      <c r="O34" s="23">
        <f t="shared" si="5"/>
        <v>69.340999999999994</v>
      </c>
      <c r="P34" s="24">
        <f t="shared" si="3"/>
        <v>1810.6590000000001</v>
      </c>
      <c r="Q34" s="25">
        <f t="shared" si="6"/>
        <v>1820.2</v>
      </c>
      <c r="R34" s="72"/>
      <c r="S34" s="26">
        <f t="shared" si="8"/>
        <v>0</v>
      </c>
      <c r="T34" s="27">
        <f t="shared" si="7"/>
        <v>-1820.2</v>
      </c>
      <c r="U34" s="3"/>
    </row>
    <row r="35" spans="1:21" ht="21" x14ac:dyDescent="0.4">
      <c r="A35" s="4"/>
      <c r="B35" s="4"/>
      <c r="C35" s="9" t="s">
        <v>19</v>
      </c>
      <c r="D35" s="18" t="s">
        <v>75</v>
      </c>
      <c r="E35" s="19">
        <v>1000</v>
      </c>
      <c r="F35" s="18" t="s">
        <v>100</v>
      </c>
      <c r="G35" s="73">
        <v>1940.125</v>
      </c>
      <c r="H35" s="19">
        <v>1884</v>
      </c>
      <c r="I35" s="20">
        <f t="shared" si="4"/>
        <v>56.125</v>
      </c>
      <c r="J35" s="20" t="s">
        <v>36</v>
      </c>
      <c r="K35" s="21">
        <v>40</v>
      </c>
      <c r="L35" s="21">
        <v>1</v>
      </c>
      <c r="M35" s="22">
        <f t="shared" si="1"/>
        <v>9.5612999999999992</v>
      </c>
      <c r="N35" s="23">
        <f t="shared" si="2"/>
        <v>18.84</v>
      </c>
      <c r="O35" s="23">
        <f t="shared" si="5"/>
        <v>69.401300000000006</v>
      </c>
      <c r="P35" s="24">
        <f t="shared" si="3"/>
        <v>1814.5987</v>
      </c>
      <c r="Q35" s="25">
        <f t="shared" si="6"/>
        <v>1824.16</v>
      </c>
      <c r="R35" s="72"/>
      <c r="S35" s="26">
        <f t="shared" si="8"/>
        <v>0</v>
      </c>
      <c r="T35" s="27">
        <f t="shared" si="7"/>
        <v>-1824.16</v>
      </c>
      <c r="U35" s="3"/>
    </row>
    <row r="36" spans="1:21" ht="21" x14ac:dyDescent="0.4">
      <c r="A36" s="4"/>
      <c r="B36" s="4"/>
      <c r="C36" s="9" t="s">
        <v>19</v>
      </c>
      <c r="D36" s="18" t="s">
        <v>91</v>
      </c>
      <c r="E36" s="19">
        <v>250</v>
      </c>
      <c r="F36" s="18" t="s">
        <v>100</v>
      </c>
      <c r="G36" s="73">
        <v>1940.125</v>
      </c>
      <c r="H36" s="19">
        <v>1939</v>
      </c>
      <c r="I36" s="20">
        <f t="shared" si="4"/>
        <v>1.125</v>
      </c>
      <c r="J36" s="20" t="s">
        <v>36</v>
      </c>
      <c r="K36" s="21">
        <v>40</v>
      </c>
      <c r="L36" s="21">
        <v>1</v>
      </c>
      <c r="M36" s="22">
        <f t="shared" si="1"/>
        <v>9.8404249999999998</v>
      </c>
      <c r="N36" s="23">
        <f t="shared" si="2"/>
        <v>19.39</v>
      </c>
      <c r="O36" s="23">
        <f t="shared" si="5"/>
        <v>70.230424999999997</v>
      </c>
      <c r="P36" s="24">
        <f t="shared" si="3"/>
        <v>1868.769575</v>
      </c>
      <c r="Q36" s="25">
        <f t="shared" si="6"/>
        <v>1878.6100000000001</v>
      </c>
      <c r="R36" s="72"/>
      <c r="S36" s="26">
        <f t="shared" si="8"/>
        <v>0</v>
      </c>
      <c r="T36" s="27">
        <f t="shared" si="7"/>
        <v>-1878.6100000000001</v>
      </c>
      <c r="U36" s="3"/>
    </row>
    <row r="37" spans="1:21" ht="21" x14ac:dyDescent="0.4">
      <c r="A37" s="4"/>
      <c r="B37" s="4"/>
      <c r="C37" s="9" t="s">
        <v>19</v>
      </c>
      <c r="D37" s="18" t="s">
        <v>92</v>
      </c>
      <c r="E37" s="19">
        <v>250</v>
      </c>
      <c r="F37" s="18" t="s">
        <v>100</v>
      </c>
      <c r="G37" s="73">
        <v>1940.125</v>
      </c>
      <c r="H37" s="19">
        <v>1939</v>
      </c>
      <c r="I37" s="20">
        <f t="shared" si="4"/>
        <v>1.125</v>
      </c>
      <c r="J37" s="20" t="s">
        <v>36</v>
      </c>
      <c r="K37" s="21">
        <v>40</v>
      </c>
      <c r="L37" s="21">
        <v>1</v>
      </c>
      <c r="M37" s="22">
        <f t="shared" si="1"/>
        <v>9.8404249999999998</v>
      </c>
      <c r="N37" s="23">
        <f t="shared" si="2"/>
        <v>19.39</v>
      </c>
      <c r="O37" s="23">
        <f t="shared" si="5"/>
        <v>70.230424999999997</v>
      </c>
      <c r="P37" s="24">
        <f t="shared" si="3"/>
        <v>1868.769575</v>
      </c>
      <c r="Q37" s="25">
        <f t="shared" si="6"/>
        <v>1878.6100000000001</v>
      </c>
      <c r="R37" s="72"/>
      <c r="S37" s="26">
        <f t="shared" si="8"/>
        <v>0</v>
      </c>
      <c r="T37" s="27">
        <f t="shared" si="7"/>
        <v>-1878.6100000000001</v>
      </c>
      <c r="U37" s="3"/>
    </row>
    <row r="38" spans="1:21" ht="21" x14ac:dyDescent="0.4">
      <c r="A38" s="4"/>
      <c r="B38" s="4"/>
      <c r="C38" s="9" t="s">
        <v>19</v>
      </c>
      <c r="D38" s="18" t="s">
        <v>93</v>
      </c>
      <c r="E38" s="19">
        <v>250</v>
      </c>
      <c r="F38" s="18" t="s">
        <v>100</v>
      </c>
      <c r="G38" s="73">
        <v>1940.125</v>
      </c>
      <c r="H38" s="19">
        <v>1939</v>
      </c>
      <c r="I38" s="20">
        <f t="shared" si="4"/>
        <v>1.125</v>
      </c>
      <c r="J38" s="20" t="s">
        <v>36</v>
      </c>
      <c r="K38" s="21">
        <v>40</v>
      </c>
      <c r="L38" s="21">
        <v>1</v>
      </c>
      <c r="M38" s="22">
        <f t="shared" si="1"/>
        <v>9.8404249999999998</v>
      </c>
      <c r="N38" s="23">
        <f t="shared" si="2"/>
        <v>19.39</v>
      </c>
      <c r="O38" s="23">
        <f t="shared" si="5"/>
        <v>70.230424999999997</v>
      </c>
      <c r="P38" s="24">
        <f t="shared" si="3"/>
        <v>1868.769575</v>
      </c>
      <c r="Q38" s="25">
        <f t="shared" si="6"/>
        <v>1878.6100000000001</v>
      </c>
      <c r="R38" s="72"/>
      <c r="S38" s="26">
        <f t="shared" si="8"/>
        <v>0</v>
      </c>
      <c r="T38" s="27">
        <f t="shared" si="7"/>
        <v>-1878.6100000000001</v>
      </c>
      <c r="U38" s="3"/>
    </row>
    <row r="39" spans="1:21" ht="21" x14ac:dyDescent="0.4">
      <c r="A39" s="4"/>
      <c r="B39" s="4"/>
      <c r="C39" s="9" t="s">
        <v>19</v>
      </c>
      <c r="D39" s="18" t="s">
        <v>94</v>
      </c>
      <c r="E39" s="19">
        <v>250</v>
      </c>
      <c r="F39" s="18" t="s">
        <v>100</v>
      </c>
      <c r="G39" s="73">
        <v>1940.125</v>
      </c>
      <c r="H39" s="19">
        <v>1939</v>
      </c>
      <c r="I39" s="20">
        <f t="shared" si="4"/>
        <v>1.125</v>
      </c>
      <c r="J39" s="20" t="s">
        <v>36</v>
      </c>
      <c r="K39" s="21">
        <v>40</v>
      </c>
      <c r="L39" s="21">
        <v>1</v>
      </c>
      <c r="M39" s="22">
        <f t="shared" si="1"/>
        <v>9.8404249999999998</v>
      </c>
      <c r="N39" s="23">
        <f t="shared" si="2"/>
        <v>19.39</v>
      </c>
      <c r="O39" s="23">
        <f t="shared" si="5"/>
        <v>70.230424999999997</v>
      </c>
      <c r="P39" s="24">
        <f t="shared" si="3"/>
        <v>1868.769575</v>
      </c>
      <c r="Q39" s="25">
        <f t="shared" si="6"/>
        <v>1878.6100000000001</v>
      </c>
      <c r="R39" s="72"/>
      <c r="S39" s="26">
        <f t="shared" si="8"/>
        <v>0</v>
      </c>
      <c r="T39" s="27">
        <f t="shared" si="7"/>
        <v>-1878.6100000000001</v>
      </c>
      <c r="U39" s="3"/>
    </row>
    <row r="40" spans="1:21" ht="21" hidden="1" x14ac:dyDescent="0.4">
      <c r="A40" s="4"/>
      <c r="B40" s="4"/>
      <c r="C40" s="9" t="s">
        <v>61</v>
      </c>
      <c r="D40" s="18" t="s">
        <v>77</v>
      </c>
      <c r="E40" s="19">
        <v>250</v>
      </c>
      <c r="F40" s="18" t="s">
        <v>100</v>
      </c>
      <c r="G40" s="73">
        <v>1940.125</v>
      </c>
      <c r="H40" s="19">
        <v>1880</v>
      </c>
      <c r="I40" s="20">
        <f t="shared" si="4"/>
        <v>60.125</v>
      </c>
      <c r="J40" s="20" t="s">
        <v>36</v>
      </c>
      <c r="K40" s="21">
        <v>40</v>
      </c>
      <c r="L40" s="21">
        <v>1</v>
      </c>
      <c r="M40" s="22">
        <f t="shared" si="1"/>
        <v>9.5409999999999986</v>
      </c>
      <c r="N40" s="23">
        <f t="shared" si="2"/>
        <v>18.8</v>
      </c>
      <c r="O40" s="23">
        <f t="shared" si="5"/>
        <v>69.340999999999994</v>
      </c>
      <c r="P40" s="24">
        <f t="shared" si="3"/>
        <v>1810.6590000000001</v>
      </c>
      <c r="Q40" s="25">
        <f t="shared" si="6"/>
        <v>1820.2</v>
      </c>
      <c r="R40" s="72"/>
      <c r="S40" s="26">
        <f t="shared" si="8"/>
        <v>0</v>
      </c>
      <c r="T40" s="27">
        <f t="shared" si="7"/>
        <v>-1820.2</v>
      </c>
      <c r="U40" s="3"/>
    </row>
    <row r="41" spans="1:21" ht="21" hidden="1" x14ac:dyDescent="0.4">
      <c r="A41" s="4"/>
      <c r="B41" s="4"/>
      <c r="C41" s="9" t="s">
        <v>61</v>
      </c>
      <c r="D41" s="18" t="s">
        <v>78</v>
      </c>
      <c r="E41" s="19">
        <v>250</v>
      </c>
      <c r="F41" s="18" t="s">
        <v>100</v>
      </c>
      <c r="G41" s="73">
        <v>1940.125</v>
      </c>
      <c r="H41" s="19">
        <v>1880</v>
      </c>
      <c r="I41" s="20">
        <f t="shared" si="4"/>
        <v>60.125</v>
      </c>
      <c r="J41" s="20" t="s">
        <v>36</v>
      </c>
      <c r="K41" s="21">
        <v>40</v>
      </c>
      <c r="L41" s="21">
        <v>1</v>
      </c>
      <c r="M41" s="22">
        <f t="shared" si="1"/>
        <v>9.5409999999999986</v>
      </c>
      <c r="N41" s="23">
        <f t="shared" si="2"/>
        <v>18.8</v>
      </c>
      <c r="O41" s="23">
        <f t="shared" si="5"/>
        <v>69.340999999999994</v>
      </c>
      <c r="P41" s="24">
        <f t="shared" si="3"/>
        <v>1810.6590000000001</v>
      </c>
      <c r="Q41" s="25">
        <f t="shared" si="6"/>
        <v>1820.2</v>
      </c>
      <c r="R41" s="72"/>
      <c r="S41" s="26">
        <f t="shared" si="8"/>
        <v>0</v>
      </c>
      <c r="T41" s="27">
        <f t="shared" si="7"/>
        <v>-1820.2</v>
      </c>
      <c r="U41" s="3"/>
    </row>
    <row r="42" spans="1:21" ht="21" hidden="1" x14ac:dyDescent="0.4">
      <c r="A42" s="4"/>
      <c r="B42" s="4"/>
      <c r="C42" s="9" t="s">
        <v>61</v>
      </c>
      <c r="D42" s="18" t="s">
        <v>79</v>
      </c>
      <c r="E42" s="19">
        <v>250</v>
      </c>
      <c r="F42" s="18" t="s">
        <v>100</v>
      </c>
      <c r="G42" s="73">
        <v>1940.125</v>
      </c>
      <c r="H42" s="19">
        <v>1880</v>
      </c>
      <c r="I42" s="20">
        <f t="shared" si="4"/>
        <v>60.125</v>
      </c>
      <c r="J42" s="20" t="s">
        <v>36</v>
      </c>
      <c r="K42" s="21">
        <v>40</v>
      </c>
      <c r="L42" s="21">
        <v>1</v>
      </c>
      <c r="M42" s="22">
        <f t="shared" si="1"/>
        <v>9.5409999999999986</v>
      </c>
      <c r="N42" s="23">
        <f t="shared" si="2"/>
        <v>18.8</v>
      </c>
      <c r="O42" s="23">
        <f t="shared" si="5"/>
        <v>69.340999999999994</v>
      </c>
      <c r="P42" s="24">
        <f t="shared" si="3"/>
        <v>1810.6590000000001</v>
      </c>
      <c r="Q42" s="25">
        <f t="shared" si="6"/>
        <v>1820.2</v>
      </c>
      <c r="R42" s="72"/>
      <c r="S42" s="26">
        <f t="shared" si="8"/>
        <v>0</v>
      </c>
      <c r="T42" s="27">
        <f t="shared" si="7"/>
        <v>-1820.2</v>
      </c>
      <c r="U42" s="3"/>
    </row>
    <row r="43" spans="1:21" ht="21" hidden="1" x14ac:dyDescent="0.4">
      <c r="A43" s="4"/>
      <c r="B43" s="4"/>
      <c r="C43" s="9" t="s">
        <v>61</v>
      </c>
      <c r="D43" s="18" t="s">
        <v>80</v>
      </c>
      <c r="E43" s="19">
        <v>250</v>
      </c>
      <c r="F43" s="18" t="s">
        <v>100</v>
      </c>
      <c r="G43" s="73">
        <v>1940.125</v>
      </c>
      <c r="H43" s="19">
        <v>1880</v>
      </c>
      <c r="I43" s="20">
        <f t="shared" si="4"/>
        <v>60.125</v>
      </c>
      <c r="J43" s="20" t="s">
        <v>36</v>
      </c>
      <c r="K43" s="21">
        <v>40</v>
      </c>
      <c r="L43" s="21">
        <v>1</v>
      </c>
      <c r="M43" s="22">
        <f t="shared" si="1"/>
        <v>9.5409999999999986</v>
      </c>
      <c r="N43" s="23">
        <f t="shared" si="2"/>
        <v>18.8</v>
      </c>
      <c r="O43" s="23">
        <f t="shared" si="5"/>
        <v>69.340999999999994</v>
      </c>
      <c r="P43" s="24">
        <f t="shared" si="3"/>
        <v>1810.6590000000001</v>
      </c>
      <c r="Q43" s="25">
        <f t="shared" si="6"/>
        <v>1820.2</v>
      </c>
      <c r="R43" s="72"/>
      <c r="S43" s="26">
        <f t="shared" si="8"/>
        <v>0</v>
      </c>
      <c r="T43" s="27">
        <f t="shared" si="7"/>
        <v>-1820.2</v>
      </c>
      <c r="U43" s="3"/>
    </row>
    <row r="44" spans="1:21" ht="21" hidden="1" x14ac:dyDescent="0.4">
      <c r="A44" s="4"/>
      <c r="B44" s="4"/>
      <c r="C44" s="9" t="s">
        <v>61</v>
      </c>
      <c r="D44" s="18" t="s">
        <v>81</v>
      </c>
      <c r="E44" s="19">
        <v>250</v>
      </c>
      <c r="F44" s="18" t="s">
        <v>100</v>
      </c>
      <c r="G44" s="73">
        <v>1940.125</v>
      </c>
      <c r="H44" s="19">
        <v>1880</v>
      </c>
      <c r="I44" s="20">
        <f t="shared" si="4"/>
        <v>60.125</v>
      </c>
      <c r="J44" s="20" t="s">
        <v>36</v>
      </c>
      <c r="K44" s="21">
        <v>40</v>
      </c>
      <c r="L44" s="21">
        <v>1</v>
      </c>
      <c r="M44" s="22">
        <f t="shared" si="1"/>
        <v>9.5409999999999986</v>
      </c>
      <c r="N44" s="23">
        <f t="shared" si="2"/>
        <v>18.8</v>
      </c>
      <c r="O44" s="23">
        <f t="shared" si="5"/>
        <v>69.340999999999994</v>
      </c>
      <c r="P44" s="24">
        <f t="shared" si="3"/>
        <v>1810.6590000000001</v>
      </c>
      <c r="Q44" s="25">
        <f t="shared" si="6"/>
        <v>1820.2</v>
      </c>
      <c r="R44" s="72"/>
      <c r="S44" s="26">
        <f t="shared" si="8"/>
        <v>0</v>
      </c>
      <c r="T44" s="27">
        <f t="shared" si="7"/>
        <v>-1820.2</v>
      </c>
      <c r="U44" s="3"/>
    </row>
    <row r="45" spans="1:21" ht="21" hidden="1" x14ac:dyDescent="0.4">
      <c r="A45" s="4"/>
      <c r="B45" s="4"/>
      <c r="C45" s="9" t="s">
        <v>61</v>
      </c>
      <c r="D45" s="18" t="s">
        <v>82</v>
      </c>
      <c r="E45" s="19">
        <v>250</v>
      </c>
      <c r="F45" s="18" t="s">
        <v>100</v>
      </c>
      <c r="G45" s="73">
        <v>1940.125</v>
      </c>
      <c r="H45" s="19">
        <v>1880</v>
      </c>
      <c r="I45" s="20">
        <f t="shared" si="4"/>
        <v>60.125</v>
      </c>
      <c r="J45" s="20" t="s">
        <v>36</v>
      </c>
      <c r="K45" s="21">
        <v>40</v>
      </c>
      <c r="L45" s="21">
        <v>1</v>
      </c>
      <c r="M45" s="22">
        <f t="shared" si="1"/>
        <v>9.5409999999999986</v>
      </c>
      <c r="N45" s="23">
        <f t="shared" si="2"/>
        <v>18.8</v>
      </c>
      <c r="O45" s="23">
        <f t="shared" si="5"/>
        <v>69.340999999999994</v>
      </c>
      <c r="P45" s="24">
        <f t="shared" si="3"/>
        <v>1810.6590000000001</v>
      </c>
      <c r="Q45" s="25">
        <f t="shared" si="6"/>
        <v>1820.2</v>
      </c>
      <c r="R45" s="72"/>
      <c r="S45" s="26">
        <f t="shared" si="8"/>
        <v>0</v>
      </c>
      <c r="T45" s="27">
        <f t="shared" si="7"/>
        <v>-1820.2</v>
      </c>
      <c r="U45" s="3"/>
    </row>
    <row r="46" spans="1:21" ht="21" hidden="1" x14ac:dyDescent="0.4">
      <c r="A46" s="4"/>
      <c r="B46" s="4"/>
      <c r="C46" s="9" t="s">
        <v>61</v>
      </c>
      <c r="D46" s="18" t="s">
        <v>87</v>
      </c>
      <c r="E46" s="19">
        <v>500</v>
      </c>
      <c r="F46" s="18" t="s">
        <v>100</v>
      </c>
      <c r="G46" s="73">
        <v>1940.125</v>
      </c>
      <c r="H46" s="19">
        <v>1891</v>
      </c>
      <c r="I46" s="20">
        <f t="shared" si="4"/>
        <v>49.125</v>
      </c>
      <c r="J46" s="20" t="s">
        <v>36</v>
      </c>
      <c r="K46" s="21">
        <v>40</v>
      </c>
      <c r="L46" s="21">
        <v>1</v>
      </c>
      <c r="M46" s="22">
        <f t="shared" si="1"/>
        <v>9.5968249999999991</v>
      </c>
      <c r="N46" s="23">
        <f t="shared" si="2"/>
        <v>18.91</v>
      </c>
      <c r="O46" s="23">
        <f t="shared" si="5"/>
        <v>69.506824999999992</v>
      </c>
      <c r="P46" s="24">
        <f t="shared" si="3"/>
        <v>1821.4931750000001</v>
      </c>
      <c r="Q46" s="25">
        <f t="shared" si="6"/>
        <v>1831.0900000000001</v>
      </c>
      <c r="R46" s="72"/>
      <c r="S46" s="26">
        <f t="shared" si="8"/>
        <v>0</v>
      </c>
      <c r="T46" s="27">
        <f t="shared" si="7"/>
        <v>-1831.0900000000001</v>
      </c>
      <c r="U46" s="3"/>
    </row>
    <row r="47" spans="1:21" ht="21" hidden="1" x14ac:dyDescent="0.4">
      <c r="A47" s="4"/>
      <c r="B47" s="4"/>
      <c r="C47" s="9" t="s">
        <v>61</v>
      </c>
      <c r="D47" s="18" t="s">
        <v>88</v>
      </c>
      <c r="E47" s="19">
        <v>500</v>
      </c>
      <c r="F47" s="18" t="s">
        <v>100</v>
      </c>
      <c r="G47" s="73">
        <v>1940.125</v>
      </c>
      <c r="H47" s="19">
        <v>1891</v>
      </c>
      <c r="I47" s="20">
        <f t="shared" si="4"/>
        <v>49.125</v>
      </c>
      <c r="J47" s="20" t="s">
        <v>36</v>
      </c>
      <c r="K47" s="21">
        <v>40</v>
      </c>
      <c r="L47" s="21">
        <v>1</v>
      </c>
      <c r="M47" s="22">
        <f t="shared" si="1"/>
        <v>9.5968249999999991</v>
      </c>
      <c r="N47" s="23">
        <f t="shared" si="2"/>
        <v>18.91</v>
      </c>
      <c r="O47" s="23">
        <f t="shared" si="5"/>
        <v>69.506824999999992</v>
      </c>
      <c r="P47" s="24">
        <f t="shared" si="3"/>
        <v>1821.4931750000001</v>
      </c>
      <c r="Q47" s="25">
        <f t="shared" si="6"/>
        <v>1831.0900000000001</v>
      </c>
      <c r="R47" s="72"/>
      <c r="S47" s="26">
        <f t="shared" si="8"/>
        <v>0</v>
      </c>
      <c r="T47" s="27">
        <f t="shared" si="7"/>
        <v>-1831.0900000000001</v>
      </c>
      <c r="U47" s="3"/>
    </row>
    <row r="48" spans="1:21" ht="21" hidden="1" x14ac:dyDescent="0.4">
      <c r="A48" s="4"/>
      <c r="B48" s="4"/>
      <c r="C48" s="9" t="s">
        <v>61</v>
      </c>
      <c r="D48" s="18" t="s">
        <v>95</v>
      </c>
      <c r="E48" s="19">
        <v>250</v>
      </c>
      <c r="F48" s="18" t="s">
        <v>100</v>
      </c>
      <c r="G48" s="73">
        <v>1940.125</v>
      </c>
      <c r="H48" s="19">
        <v>1939</v>
      </c>
      <c r="I48" s="20">
        <f t="shared" si="4"/>
        <v>1.125</v>
      </c>
      <c r="J48" s="20" t="s">
        <v>36</v>
      </c>
      <c r="K48" s="21">
        <v>40</v>
      </c>
      <c r="L48" s="21">
        <v>1</v>
      </c>
      <c r="M48" s="22">
        <f t="shared" si="1"/>
        <v>9.8404249999999998</v>
      </c>
      <c r="N48" s="23">
        <f t="shared" si="2"/>
        <v>19.39</v>
      </c>
      <c r="O48" s="23">
        <f t="shared" si="5"/>
        <v>70.230424999999997</v>
      </c>
      <c r="P48" s="24">
        <f t="shared" si="3"/>
        <v>1868.769575</v>
      </c>
      <c r="Q48" s="25">
        <f t="shared" si="6"/>
        <v>1878.6100000000001</v>
      </c>
      <c r="R48" s="72"/>
      <c r="S48" s="26">
        <f t="shared" si="8"/>
        <v>0</v>
      </c>
      <c r="T48" s="27">
        <f t="shared" si="7"/>
        <v>-1878.6100000000001</v>
      </c>
      <c r="U48" s="3"/>
    </row>
    <row r="49" spans="1:21" ht="21" hidden="1" x14ac:dyDescent="0.4">
      <c r="A49" s="4"/>
      <c r="B49" s="4"/>
      <c r="C49" s="9" t="s">
        <v>61</v>
      </c>
      <c r="D49" s="18" t="s">
        <v>96</v>
      </c>
      <c r="E49" s="19">
        <v>250</v>
      </c>
      <c r="F49" s="18" t="s">
        <v>100</v>
      </c>
      <c r="G49" s="73">
        <v>1940.125</v>
      </c>
      <c r="H49" s="19">
        <v>1939</v>
      </c>
      <c r="I49" s="20">
        <f t="shared" si="4"/>
        <v>1.125</v>
      </c>
      <c r="J49" s="20" t="s">
        <v>36</v>
      </c>
      <c r="K49" s="21">
        <v>40</v>
      </c>
      <c r="L49" s="21">
        <v>1</v>
      </c>
      <c r="M49" s="22">
        <f t="shared" si="1"/>
        <v>9.8404249999999998</v>
      </c>
      <c r="N49" s="23">
        <f t="shared" si="2"/>
        <v>19.39</v>
      </c>
      <c r="O49" s="23">
        <f t="shared" si="5"/>
        <v>70.230424999999997</v>
      </c>
      <c r="P49" s="24">
        <f t="shared" si="3"/>
        <v>1868.769575</v>
      </c>
      <c r="Q49" s="25">
        <f t="shared" si="6"/>
        <v>1878.6100000000001</v>
      </c>
      <c r="R49" s="72"/>
      <c r="S49" s="26">
        <f t="shared" si="8"/>
        <v>0</v>
      </c>
      <c r="T49" s="27">
        <f t="shared" si="7"/>
        <v>-1878.6100000000001</v>
      </c>
      <c r="U49" s="3"/>
    </row>
    <row r="50" spans="1:21" ht="21" hidden="1" x14ac:dyDescent="0.4">
      <c r="A50" s="4"/>
      <c r="B50" s="4"/>
      <c r="C50" s="9" t="s">
        <v>61</v>
      </c>
      <c r="D50" s="18" t="s">
        <v>97</v>
      </c>
      <c r="E50" s="19">
        <v>250</v>
      </c>
      <c r="F50" s="18" t="s">
        <v>100</v>
      </c>
      <c r="G50" s="73">
        <v>1940.125</v>
      </c>
      <c r="H50" s="19">
        <v>1939</v>
      </c>
      <c r="I50" s="20">
        <f t="shared" si="4"/>
        <v>1.125</v>
      </c>
      <c r="J50" s="20" t="s">
        <v>36</v>
      </c>
      <c r="K50" s="21">
        <v>40</v>
      </c>
      <c r="L50" s="21">
        <v>1</v>
      </c>
      <c r="M50" s="22">
        <f t="shared" si="1"/>
        <v>9.8404249999999998</v>
      </c>
      <c r="N50" s="23">
        <f t="shared" si="2"/>
        <v>19.39</v>
      </c>
      <c r="O50" s="23">
        <f t="shared" si="5"/>
        <v>70.230424999999997</v>
      </c>
      <c r="P50" s="24">
        <f t="shared" si="3"/>
        <v>1868.769575</v>
      </c>
      <c r="Q50" s="25">
        <f t="shared" si="6"/>
        <v>1878.6100000000001</v>
      </c>
      <c r="R50" s="72"/>
      <c r="S50" s="26">
        <f t="shared" si="8"/>
        <v>0</v>
      </c>
      <c r="T50" s="27">
        <f t="shared" si="7"/>
        <v>-1878.6100000000001</v>
      </c>
      <c r="U50" s="3"/>
    </row>
    <row r="51" spans="1:21" ht="21" hidden="1" x14ac:dyDescent="0.4">
      <c r="A51" s="4"/>
      <c r="B51" s="4"/>
      <c r="C51" s="9" t="s">
        <v>61</v>
      </c>
      <c r="D51" s="18" t="s">
        <v>98</v>
      </c>
      <c r="E51" s="19">
        <v>250</v>
      </c>
      <c r="F51" s="18" t="s">
        <v>100</v>
      </c>
      <c r="G51" s="73">
        <v>1940.125</v>
      </c>
      <c r="H51" s="19">
        <v>1939</v>
      </c>
      <c r="I51" s="20">
        <f t="shared" si="4"/>
        <v>1.125</v>
      </c>
      <c r="J51" s="20" t="s">
        <v>36</v>
      </c>
      <c r="K51" s="21">
        <v>40</v>
      </c>
      <c r="L51" s="21">
        <v>1</v>
      </c>
      <c r="M51" s="22">
        <f t="shared" si="1"/>
        <v>9.8404249999999998</v>
      </c>
      <c r="N51" s="23">
        <f t="shared" si="2"/>
        <v>19.39</v>
      </c>
      <c r="O51" s="23">
        <f t="shared" si="5"/>
        <v>70.230424999999997</v>
      </c>
      <c r="P51" s="24">
        <f t="shared" si="3"/>
        <v>1868.769575</v>
      </c>
      <c r="Q51" s="25">
        <f t="shared" si="6"/>
        <v>1878.6100000000001</v>
      </c>
      <c r="R51" s="72"/>
      <c r="S51" s="26">
        <f t="shared" si="8"/>
        <v>0</v>
      </c>
      <c r="T51" s="27">
        <f t="shared" si="7"/>
        <v>-1878.6100000000001</v>
      </c>
      <c r="U51" s="3"/>
    </row>
  </sheetData>
  <autoFilter ref="C6:T51" xr:uid="{E179F907-649A-4280-A12C-BA216DEBC8D0}">
    <filterColumn colId="0">
      <filters>
        <filter val="SUCDEN"/>
      </filters>
    </filterColumn>
    <filterColumn colId="6" showButton="0"/>
  </autoFilter>
  <mergeCells count="1">
    <mergeCell ref="I6:J6"/>
  </mergeCells>
  <pageMargins left="0.7" right="0.7" top="0.75" bottom="0.75" header="0.3" footer="0.3"/>
  <pageSetup paperSize="9" scale="3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3B280-D3D3-4A98-A908-428961541651}">
  <sheetPr filterMode="1"/>
  <dimension ref="A1:AC49"/>
  <sheetViews>
    <sheetView zoomScaleNormal="100" workbookViewId="0">
      <pane ySplit="1" topLeftCell="A2" activePane="bottomLeft" state="frozen"/>
      <selection pane="bottomLeft" activeCell="F4" sqref="F4:F23"/>
    </sheetView>
  </sheetViews>
  <sheetFormatPr baseColWidth="10" defaultColWidth="11.44140625" defaultRowHeight="14.4" x14ac:dyDescent="0.3"/>
  <cols>
    <col min="1" max="1" width="8.33203125" customWidth="1"/>
    <col min="3" max="3" width="17.6640625" bestFit="1" customWidth="1"/>
    <col min="4" max="4" width="15.33203125" bestFit="1" customWidth="1"/>
    <col min="5" max="5" width="12.6640625" bestFit="1" customWidth="1"/>
    <col min="6" max="6" width="23.33203125" bestFit="1" customWidth="1"/>
    <col min="7" max="7" width="14.44140625" bestFit="1" customWidth="1"/>
    <col min="8" max="8" width="15" bestFit="1" customWidth="1"/>
  </cols>
  <sheetData>
    <row r="1" spans="1:29" ht="27" thickBot="1" x14ac:dyDescent="0.35">
      <c r="A1" s="33"/>
      <c r="B1" s="34" t="s">
        <v>63</v>
      </c>
      <c r="C1" s="35" t="s">
        <v>64</v>
      </c>
      <c r="D1" s="36" t="s">
        <v>65</v>
      </c>
      <c r="E1" s="36" t="s">
        <v>66</v>
      </c>
      <c r="F1" s="37" t="s">
        <v>67</v>
      </c>
      <c r="G1" s="35" t="s">
        <v>68</v>
      </c>
      <c r="H1" s="35" t="s">
        <v>69</v>
      </c>
    </row>
    <row r="2" spans="1:29" s="39" customFormat="1" ht="21" x14ac:dyDescent="0.4">
      <c r="A2" s="76" t="s">
        <v>70</v>
      </c>
      <c r="B2" s="78" t="s">
        <v>71</v>
      </c>
      <c r="C2" s="79"/>
      <c r="D2" s="79"/>
      <c r="E2" s="80"/>
      <c r="F2" s="38"/>
      <c r="G2" s="38">
        <f>G24+G49</f>
        <v>15000</v>
      </c>
      <c r="H2" s="38">
        <f>H24+H49</f>
        <v>15015000</v>
      </c>
    </row>
    <row r="3" spans="1:29" s="47" customFormat="1" x14ac:dyDescent="0.3">
      <c r="A3" s="77"/>
      <c r="B3" s="40" t="s">
        <v>48</v>
      </c>
      <c r="C3" s="41" t="s">
        <v>19</v>
      </c>
      <c r="D3" s="42">
        <v>46100</v>
      </c>
      <c r="E3" s="43" t="s">
        <v>72</v>
      </c>
      <c r="F3" s="44">
        <v>1864</v>
      </c>
      <c r="G3" s="45">
        <v>1000</v>
      </c>
      <c r="H3" s="45">
        <v>1001000</v>
      </c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</row>
    <row r="4" spans="1:29" s="47" customFormat="1" x14ac:dyDescent="0.3">
      <c r="A4" s="77"/>
      <c r="B4" s="40" t="s">
        <v>49</v>
      </c>
      <c r="C4" s="41" t="s">
        <v>61</v>
      </c>
      <c r="D4" s="42">
        <v>46132</v>
      </c>
      <c r="E4" s="43" t="s">
        <v>72</v>
      </c>
      <c r="F4" s="44">
        <v>1868</v>
      </c>
      <c r="G4" s="45">
        <v>250</v>
      </c>
      <c r="H4" s="45">
        <v>250250</v>
      </c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</row>
    <row r="5" spans="1:29" s="47" customFormat="1" x14ac:dyDescent="0.3">
      <c r="A5" s="77"/>
      <c r="B5" s="40" t="s">
        <v>50</v>
      </c>
      <c r="C5" s="41" t="s">
        <v>61</v>
      </c>
      <c r="D5" s="42">
        <v>46132</v>
      </c>
      <c r="E5" s="43" t="s">
        <v>72</v>
      </c>
      <c r="F5" s="44">
        <v>1868</v>
      </c>
      <c r="G5" s="45">
        <v>250</v>
      </c>
      <c r="H5" s="45">
        <v>250250</v>
      </c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</row>
    <row r="6" spans="1:29" s="48" customFormat="1" x14ac:dyDescent="0.3">
      <c r="A6" s="77"/>
      <c r="B6" s="40" t="s">
        <v>51</v>
      </c>
      <c r="C6" s="41" t="s">
        <v>61</v>
      </c>
      <c r="D6" s="42">
        <v>46132</v>
      </c>
      <c r="E6" s="43" t="s">
        <v>72</v>
      </c>
      <c r="F6" s="44">
        <v>1868</v>
      </c>
      <c r="G6" s="45">
        <v>250</v>
      </c>
      <c r="H6" s="45">
        <v>250250</v>
      </c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</row>
    <row r="7" spans="1:29" s="48" customFormat="1" x14ac:dyDescent="0.3">
      <c r="A7" s="77"/>
      <c r="B7" s="40" t="s">
        <v>52</v>
      </c>
      <c r="C7" s="41" t="s">
        <v>61</v>
      </c>
      <c r="D7" s="42">
        <v>46132</v>
      </c>
      <c r="E7" s="43" t="s">
        <v>72</v>
      </c>
      <c r="F7" s="44">
        <v>1868</v>
      </c>
      <c r="G7" s="45">
        <v>250</v>
      </c>
      <c r="H7" s="45">
        <v>250250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</row>
    <row r="8" spans="1:29" s="48" customFormat="1" x14ac:dyDescent="0.3">
      <c r="A8" s="77"/>
      <c r="B8" s="40" t="s">
        <v>53</v>
      </c>
      <c r="C8" s="41" t="s">
        <v>61</v>
      </c>
      <c r="D8" s="42">
        <v>46132</v>
      </c>
      <c r="E8" s="43" t="s">
        <v>72</v>
      </c>
      <c r="F8" s="44">
        <v>1868</v>
      </c>
      <c r="G8" s="45">
        <v>250</v>
      </c>
      <c r="H8" s="45">
        <v>250250</v>
      </c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</row>
    <row r="9" spans="1:29" s="48" customFormat="1" x14ac:dyDescent="0.3">
      <c r="A9" s="77"/>
      <c r="B9" s="40" t="s">
        <v>54</v>
      </c>
      <c r="C9" s="41" t="s">
        <v>61</v>
      </c>
      <c r="D9" s="42">
        <v>46132</v>
      </c>
      <c r="E9" s="43" t="s">
        <v>72</v>
      </c>
      <c r="F9" s="44">
        <v>1868</v>
      </c>
      <c r="G9" s="45">
        <v>250</v>
      </c>
      <c r="H9" s="45">
        <v>250250</v>
      </c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</row>
    <row r="10" spans="1:29" x14ac:dyDescent="0.3">
      <c r="A10" s="77"/>
      <c r="B10" s="40" t="s">
        <v>43</v>
      </c>
      <c r="C10" s="41" t="s">
        <v>73</v>
      </c>
      <c r="D10" s="42">
        <v>46132</v>
      </c>
      <c r="E10" s="43" t="s">
        <v>72</v>
      </c>
      <c r="F10" s="44">
        <v>1868</v>
      </c>
      <c r="G10" s="45">
        <v>250</v>
      </c>
      <c r="H10" s="45">
        <v>250250</v>
      </c>
    </row>
    <row r="11" spans="1:29" x14ac:dyDescent="0.3">
      <c r="A11" s="77"/>
      <c r="B11" s="40" t="s">
        <v>44</v>
      </c>
      <c r="C11" s="41" t="s">
        <v>73</v>
      </c>
      <c r="D11" s="42">
        <v>46132</v>
      </c>
      <c r="E11" s="43" t="s">
        <v>72</v>
      </c>
      <c r="F11" s="44">
        <v>1868</v>
      </c>
      <c r="G11" s="45">
        <v>250</v>
      </c>
      <c r="H11" s="45">
        <v>250250</v>
      </c>
    </row>
    <row r="12" spans="1:29" s="47" customFormat="1" x14ac:dyDescent="0.3">
      <c r="A12" s="77"/>
      <c r="B12" s="40" t="s">
        <v>45</v>
      </c>
      <c r="C12" s="41" t="s">
        <v>73</v>
      </c>
      <c r="D12" s="42">
        <v>46132</v>
      </c>
      <c r="E12" s="43" t="s">
        <v>72</v>
      </c>
      <c r="F12" s="44">
        <v>1868</v>
      </c>
      <c r="G12" s="45">
        <v>250</v>
      </c>
      <c r="H12" s="45">
        <v>250250</v>
      </c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</row>
    <row r="13" spans="1:29" s="47" customFormat="1" x14ac:dyDescent="0.3">
      <c r="A13" s="77"/>
      <c r="B13" s="40" t="s">
        <v>46</v>
      </c>
      <c r="C13" s="41" t="s">
        <v>73</v>
      </c>
      <c r="D13" s="42">
        <v>46132</v>
      </c>
      <c r="E13" s="43" t="s">
        <v>72</v>
      </c>
      <c r="F13" s="44">
        <v>1868</v>
      </c>
      <c r="G13" s="45">
        <v>250</v>
      </c>
      <c r="H13" s="45">
        <v>250250</v>
      </c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</row>
    <row r="14" spans="1:29" x14ac:dyDescent="0.3">
      <c r="A14" s="77"/>
      <c r="B14" s="40" t="s">
        <v>55</v>
      </c>
      <c r="C14" s="41" t="s">
        <v>61</v>
      </c>
      <c r="D14" s="42">
        <v>46140</v>
      </c>
      <c r="E14" s="43" t="s">
        <v>72</v>
      </c>
      <c r="F14" s="44">
        <v>1878</v>
      </c>
      <c r="G14" s="45">
        <v>500</v>
      </c>
      <c r="H14" s="45">
        <v>500500</v>
      </c>
    </row>
    <row r="15" spans="1:29" s="49" customFormat="1" x14ac:dyDescent="0.3">
      <c r="A15" s="77"/>
      <c r="B15" s="40" t="s">
        <v>56</v>
      </c>
      <c r="C15" s="41" t="s">
        <v>61</v>
      </c>
      <c r="D15" s="42">
        <v>46140</v>
      </c>
      <c r="E15" s="43" t="s">
        <v>72</v>
      </c>
      <c r="F15" s="44">
        <v>1878</v>
      </c>
      <c r="G15" s="45">
        <v>500</v>
      </c>
      <c r="H15" s="45">
        <v>500500</v>
      </c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</row>
    <row r="16" spans="1:29" s="49" customFormat="1" x14ac:dyDescent="0.3">
      <c r="A16" s="77"/>
      <c r="B16" s="40" t="s">
        <v>38</v>
      </c>
      <c r="C16" s="41" t="s">
        <v>37</v>
      </c>
      <c r="D16" s="42">
        <v>46140</v>
      </c>
      <c r="E16" s="43" t="s">
        <v>72</v>
      </c>
      <c r="F16" s="44">
        <v>1878</v>
      </c>
      <c r="G16" s="45">
        <v>500</v>
      </c>
      <c r="H16" s="45">
        <v>500500</v>
      </c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</row>
    <row r="17" spans="1:29" x14ac:dyDescent="0.3">
      <c r="A17" s="77"/>
      <c r="B17" s="40" t="s">
        <v>39</v>
      </c>
      <c r="C17" s="41" t="s">
        <v>37</v>
      </c>
      <c r="D17" s="42">
        <v>46140</v>
      </c>
      <c r="E17" s="43" t="s">
        <v>72</v>
      </c>
      <c r="F17" s="44">
        <v>1878</v>
      </c>
      <c r="G17" s="45">
        <v>500</v>
      </c>
      <c r="H17" s="45">
        <v>500500</v>
      </c>
    </row>
    <row r="18" spans="1:29" x14ac:dyDescent="0.3">
      <c r="A18" s="77"/>
      <c r="B18" s="40" t="s">
        <v>40</v>
      </c>
      <c r="C18" s="41" t="s">
        <v>37</v>
      </c>
      <c r="D18" s="42">
        <v>46140</v>
      </c>
      <c r="E18" s="43" t="s">
        <v>72</v>
      </c>
      <c r="F18" s="44">
        <v>1878</v>
      </c>
      <c r="G18" s="45">
        <v>500</v>
      </c>
      <c r="H18" s="45">
        <v>500500</v>
      </c>
    </row>
    <row r="19" spans="1:29" x14ac:dyDescent="0.3">
      <c r="A19" s="77"/>
      <c r="B19" s="40" t="s">
        <v>41</v>
      </c>
      <c r="C19" s="41" t="s">
        <v>37</v>
      </c>
      <c r="D19" s="42">
        <v>46140</v>
      </c>
      <c r="E19" s="43" t="s">
        <v>72</v>
      </c>
      <c r="F19" s="44">
        <v>1878</v>
      </c>
      <c r="G19" s="45">
        <v>500</v>
      </c>
      <c r="H19" s="45">
        <v>500500</v>
      </c>
    </row>
    <row r="20" spans="1:29" x14ac:dyDescent="0.3">
      <c r="A20" s="77"/>
      <c r="B20" s="40" t="s">
        <v>57</v>
      </c>
      <c r="C20" s="41" t="s">
        <v>61</v>
      </c>
      <c r="D20" s="42">
        <v>46142</v>
      </c>
      <c r="E20" s="43" t="s">
        <v>72</v>
      </c>
      <c r="F20" s="44">
        <v>1929</v>
      </c>
      <c r="G20" s="45">
        <v>250</v>
      </c>
      <c r="H20" s="45">
        <v>250250</v>
      </c>
    </row>
    <row r="21" spans="1:29" x14ac:dyDescent="0.3">
      <c r="A21" s="77"/>
      <c r="B21" s="40" t="s">
        <v>58</v>
      </c>
      <c r="C21" s="41" t="s">
        <v>61</v>
      </c>
      <c r="D21" s="42">
        <v>46142</v>
      </c>
      <c r="E21" s="43" t="s">
        <v>72</v>
      </c>
      <c r="F21" s="44">
        <v>1929</v>
      </c>
      <c r="G21" s="45">
        <v>250</v>
      </c>
      <c r="H21" s="45">
        <v>250250</v>
      </c>
    </row>
    <row r="22" spans="1:29" x14ac:dyDescent="0.3">
      <c r="A22" s="77"/>
      <c r="B22" s="40" t="s">
        <v>59</v>
      </c>
      <c r="C22" s="41" t="s">
        <v>61</v>
      </c>
      <c r="D22" s="42">
        <v>46142</v>
      </c>
      <c r="E22" s="43" t="s">
        <v>72</v>
      </c>
      <c r="F22" s="44">
        <v>1929</v>
      </c>
      <c r="G22" s="45">
        <v>250</v>
      </c>
      <c r="H22" s="45">
        <v>250250</v>
      </c>
    </row>
    <row r="23" spans="1:29" x14ac:dyDescent="0.3">
      <c r="A23" s="77"/>
      <c r="B23" s="40" t="s">
        <v>60</v>
      </c>
      <c r="C23" s="41" t="s">
        <v>61</v>
      </c>
      <c r="D23" s="42">
        <v>46142</v>
      </c>
      <c r="E23" s="43" t="s">
        <v>72</v>
      </c>
      <c r="F23" s="44">
        <v>1929</v>
      </c>
      <c r="G23" s="45">
        <v>250</v>
      </c>
      <c r="H23" s="45">
        <v>250250</v>
      </c>
    </row>
    <row r="24" spans="1:29" s="52" customFormat="1" ht="15.6" x14ac:dyDescent="0.3">
      <c r="A24" s="77"/>
      <c r="B24" s="81" t="s">
        <v>74</v>
      </c>
      <c r="C24" s="81"/>
      <c r="D24" s="81"/>
      <c r="E24" s="82"/>
      <c r="F24" s="50"/>
      <c r="G24" s="51">
        <f>SUM(G3:G23)</f>
        <v>7500</v>
      </c>
      <c r="H24" s="51">
        <f>SUM(H3:H23)</f>
        <v>7507500</v>
      </c>
    </row>
    <row r="25" spans="1:29" x14ac:dyDescent="0.3">
      <c r="A25" s="77"/>
      <c r="B25" s="40"/>
      <c r="C25" s="41"/>
      <c r="D25" s="53"/>
      <c r="E25" s="54"/>
      <c r="F25" s="55"/>
      <c r="G25" s="45"/>
      <c r="H25" s="45"/>
    </row>
    <row r="26" spans="1:29" s="47" customFormat="1" hidden="1" x14ac:dyDescent="0.3">
      <c r="A26" s="77"/>
      <c r="B26" s="40" t="s">
        <v>75</v>
      </c>
      <c r="C26" s="41" t="s">
        <v>19</v>
      </c>
      <c r="D26" s="42">
        <v>46100</v>
      </c>
      <c r="E26" s="43" t="s">
        <v>76</v>
      </c>
      <c r="F26" s="44">
        <v>1884</v>
      </c>
      <c r="G26" s="45">
        <v>1000</v>
      </c>
      <c r="H26" s="45">
        <v>1001000</v>
      </c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</row>
    <row r="27" spans="1:29" s="49" customFormat="1" hidden="1" x14ac:dyDescent="0.3">
      <c r="A27" s="77"/>
      <c r="B27" s="40" t="s">
        <v>77</v>
      </c>
      <c r="C27" s="41" t="s">
        <v>61</v>
      </c>
      <c r="D27" s="42">
        <v>46132</v>
      </c>
      <c r="E27" s="43" t="s">
        <v>76</v>
      </c>
      <c r="F27" s="44">
        <v>1880</v>
      </c>
      <c r="G27" s="45">
        <v>250</v>
      </c>
      <c r="H27" s="45">
        <v>250250</v>
      </c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</row>
    <row r="28" spans="1:29" hidden="1" x14ac:dyDescent="0.3">
      <c r="A28" s="77"/>
      <c r="B28" s="40" t="s">
        <v>78</v>
      </c>
      <c r="C28" s="41" t="s">
        <v>61</v>
      </c>
      <c r="D28" s="42">
        <v>46132</v>
      </c>
      <c r="E28" s="43" t="s">
        <v>76</v>
      </c>
      <c r="F28" s="44">
        <v>1880</v>
      </c>
      <c r="G28" s="45">
        <v>250</v>
      </c>
      <c r="H28" s="45">
        <v>250250</v>
      </c>
    </row>
    <row r="29" spans="1:29" hidden="1" x14ac:dyDescent="0.3">
      <c r="A29" s="77"/>
      <c r="B29" s="40" t="s">
        <v>79</v>
      </c>
      <c r="C29" s="41" t="s">
        <v>61</v>
      </c>
      <c r="D29" s="42">
        <v>46132</v>
      </c>
      <c r="E29" s="43" t="s">
        <v>76</v>
      </c>
      <c r="F29" s="44">
        <v>1880</v>
      </c>
      <c r="G29" s="45">
        <v>250</v>
      </c>
      <c r="H29" s="45">
        <v>250250</v>
      </c>
    </row>
    <row r="30" spans="1:29" hidden="1" x14ac:dyDescent="0.3">
      <c r="A30" s="77"/>
      <c r="B30" s="40" t="s">
        <v>80</v>
      </c>
      <c r="C30" s="41" t="s">
        <v>61</v>
      </c>
      <c r="D30" s="42">
        <v>46132</v>
      </c>
      <c r="E30" s="43" t="s">
        <v>76</v>
      </c>
      <c r="F30" s="44">
        <v>1880</v>
      </c>
      <c r="G30" s="45">
        <v>250</v>
      </c>
      <c r="H30" s="45">
        <v>250250</v>
      </c>
    </row>
    <row r="31" spans="1:29" hidden="1" x14ac:dyDescent="0.3">
      <c r="A31" s="77"/>
      <c r="B31" s="40" t="s">
        <v>81</v>
      </c>
      <c r="C31" s="41" t="s">
        <v>61</v>
      </c>
      <c r="D31" s="42">
        <v>46132</v>
      </c>
      <c r="E31" s="43" t="s">
        <v>76</v>
      </c>
      <c r="F31" s="44">
        <v>1880</v>
      </c>
      <c r="G31" s="45">
        <v>250</v>
      </c>
      <c r="H31" s="45">
        <v>250250</v>
      </c>
    </row>
    <row r="32" spans="1:29" hidden="1" x14ac:dyDescent="0.3">
      <c r="A32" s="77"/>
      <c r="B32" s="40" t="s">
        <v>82</v>
      </c>
      <c r="C32" s="41" t="s">
        <v>61</v>
      </c>
      <c r="D32" s="42">
        <v>46132</v>
      </c>
      <c r="E32" s="43" t="s">
        <v>76</v>
      </c>
      <c r="F32" s="44">
        <v>1880</v>
      </c>
      <c r="G32" s="45">
        <v>250</v>
      </c>
      <c r="H32" s="45">
        <v>250250</v>
      </c>
    </row>
    <row r="33" spans="1:8" hidden="1" x14ac:dyDescent="0.3">
      <c r="A33" s="77"/>
      <c r="B33" s="40" t="s">
        <v>83</v>
      </c>
      <c r="C33" s="41" t="s">
        <v>73</v>
      </c>
      <c r="D33" s="42">
        <v>46132</v>
      </c>
      <c r="E33" s="43" t="s">
        <v>76</v>
      </c>
      <c r="F33" s="44">
        <v>1880</v>
      </c>
      <c r="G33" s="45">
        <v>250</v>
      </c>
      <c r="H33" s="45">
        <v>250250</v>
      </c>
    </row>
    <row r="34" spans="1:8" hidden="1" x14ac:dyDescent="0.3">
      <c r="A34" s="77"/>
      <c r="B34" s="40" t="s">
        <v>84</v>
      </c>
      <c r="C34" s="41" t="s">
        <v>73</v>
      </c>
      <c r="D34" s="42">
        <v>46132</v>
      </c>
      <c r="E34" s="43" t="s">
        <v>76</v>
      </c>
      <c r="F34" s="44">
        <v>1880</v>
      </c>
      <c r="G34" s="45">
        <v>250</v>
      </c>
      <c r="H34" s="45">
        <v>250250</v>
      </c>
    </row>
    <row r="35" spans="1:8" hidden="1" x14ac:dyDescent="0.3">
      <c r="A35" s="77"/>
      <c r="B35" s="40" t="s">
        <v>85</v>
      </c>
      <c r="C35" s="41" t="s">
        <v>73</v>
      </c>
      <c r="D35" s="42">
        <v>46132</v>
      </c>
      <c r="E35" s="43" t="s">
        <v>76</v>
      </c>
      <c r="F35" s="44">
        <v>1880</v>
      </c>
      <c r="G35" s="45">
        <v>250</v>
      </c>
      <c r="H35" s="45">
        <v>250250</v>
      </c>
    </row>
    <row r="36" spans="1:8" hidden="1" x14ac:dyDescent="0.3">
      <c r="A36" s="77"/>
      <c r="B36" s="40" t="s">
        <v>86</v>
      </c>
      <c r="C36" s="41" t="s">
        <v>73</v>
      </c>
      <c r="D36" s="42">
        <v>46132</v>
      </c>
      <c r="E36" s="43" t="s">
        <v>76</v>
      </c>
      <c r="F36" s="44">
        <v>1880</v>
      </c>
      <c r="G36" s="45">
        <v>250</v>
      </c>
      <c r="H36" s="45">
        <v>250250</v>
      </c>
    </row>
    <row r="37" spans="1:8" hidden="1" x14ac:dyDescent="0.3">
      <c r="A37" s="77"/>
      <c r="B37" s="40" t="s">
        <v>87</v>
      </c>
      <c r="C37" s="41" t="s">
        <v>61</v>
      </c>
      <c r="D37" s="42">
        <v>46140</v>
      </c>
      <c r="E37" s="43" t="s">
        <v>76</v>
      </c>
      <c r="F37" s="44">
        <v>1891</v>
      </c>
      <c r="G37" s="45">
        <v>500</v>
      </c>
      <c r="H37" s="45">
        <v>500500</v>
      </c>
    </row>
    <row r="38" spans="1:8" hidden="1" x14ac:dyDescent="0.3">
      <c r="A38" s="77"/>
      <c r="B38" s="40" t="s">
        <v>88</v>
      </c>
      <c r="C38" s="41" t="s">
        <v>61</v>
      </c>
      <c r="D38" s="42">
        <v>46140</v>
      </c>
      <c r="E38" s="43" t="s">
        <v>76</v>
      </c>
      <c r="F38" s="44">
        <v>1891</v>
      </c>
      <c r="G38" s="45">
        <v>500</v>
      </c>
      <c r="H38" s="45">
        <v>500500</v>
      </c>
    </row>
    <row r="39" spans="1:8" hidden="1" x14ac:dyDescent="0.3">
      <c r="A39" s="77"/>
      <c r="B39" s="40" t="s">
        <v>89</v>
      </c>
      <c r="C39" s="41" t="s">
        <v>37</v>
      </c>
      <c r="D39" s="42">
        <v>46140</v>
      </c>
      <c r="E39" s="43" t="s">
        <v>76</v>
      </c>
      <c r="F39" s="44">
        <v>1891</v>
      </c>
      <c r="G39" s="45">
        <v>500</v>
      </c>
      <c r="H39" s="45">
        <v>500500</v>
      </c>
    </row>
    <row r="40" spans="1:8" hidden="1" x14ac:dyDescent="0.3">
      <c r="A40" s="77"/>
      <c r="B40" s="40" t="s">
        <v>90</v>
      </c>
      <c r="C40" s="41" t="s">
        <v>37</v>
      </c>
      <c r="D40" s="42">
        <v>46140</v>
      </c>
      <c r="E40" s="43" t="s">
        <v>76</v>
      </c>
      <c r="F40" s="44">
        <v>1891</v>
      </c>
      <c r="G40" s="45">
        <v>500</v>
      </c>
      <c r="H40" s="45">
        <v>500500</v>
      </c>
    </row>
    <row r="41" spans="1:8" hidden="1" x14ac:dyDescent="0.3">
      <c r="A41" s="77"/>
      <c r="B41" s="40" t="s">
        <v>91</v>
      </c>
      <c r="C41" s="41" t="s">
        <v>19</v>
      </c>
      <c r="D41" s="42">
        <v>46142</v>
      </c>
      <c r="E41" s="43" t="s">
        <v>76</v>
      </c>
      <c r="F41" s="44">
        <v>1939</v>
      </c>
      <c r="G41" s="45">
        <v>250</v>
      </c>
      <c r="H41" s="45">
        <v>250250</v>
      </c>
    </row>
    <row r="42" spans="1:8" hidden="1" x14ac:dyDescent="0.3">
      <c r="A42" s="77"/>
      <c r="B42" s="40" t="s">
        <v>92</v>
      </c>
      <c r="C42" s="41" t="s">
        <v>19</v>
      </c>
      <c r="D42" s="42">
        <v>46142</v>
      </c>
      <c r="E42" s="43" t="s">
        <v>76</v>
      </c>
      <c r="F42" s="44">
        <v>1939</v>
      </c>
      <c r="G42" s="45">
        <v>250</v>
      </c>
      <c r="H42" s="45">
        <v>250250</v>
      </c>
    </row>
    <row r="43" spans="1:8" hidden="1" x14ac:dyDescent="0.3">
      <c r="A43" s="77"/>
      <c r="B43" s="40" t="s">
        <v>93</v>
      </c>
      <c r="C43" s="41" t="s">
        <v>19</v>
      </c>
      <c r="D43" s="42">
        <v>46142</v>
      </c>
      <c r="E43" s="43" t="s">
        <v>76</v>
      </c>
      <c r="F43" s="44">
        <v>1939</v>
      </c>
      <c r="G43" s="45">
        <v>250</v>
      </c>
      <c r="H43" s="45">
        <v>250250</v>
      </c>
    </row>
    <row r="44" spans="1:8" hidden="1" x14ac:dyDescent="0.3">
      <c r="A44" s="77"/>
      <c r="B44" s="40" t="s">
        <v>94</v>
      </c>
      <c r="C44" s="41" t="s">
        <v>19</v>
      </c>
      <c r="D44" s="42">
        <v>46142</v>
      </c>
      <c r="E44" s="43" t="s">
        <v>76</v>
      </c>
      <c r="F44" s="44">
        <v>1939</v>
      </c>
      <c r="G44" s="45">
        <v>250</v>
      </c>
      <c r="H44" s="45">
        <v>250250</v>
      </c>
    </row>
    <row r="45" spans="1:8" hidden="1" x14ac:dyDescent="0.3">
      <c r="A45" s="77"/>
      <c r="B45" s="40" t="s">
        <v>95</v>
      </c>
      <c r="C45" s="41" t="s">
        <v>61</v>
      </c>
      <c r="D45" s="42">
        <v>46142</v>
      </c>
      <c r="E45" s="43" t="s">
        <v>76</v>
      </c>
      <c r="F45" s="44">
        <v>1939</v>
      </c>
      <c r="G45" s="45">
        <v>250</v>
      </c>
      <c r="H45" s="45">
        <v>250250</v>
      </c>
    </row>
    <row r="46" spans="1:8" hidden="1" x14ac:dyDescent="0.3">
      <c r="A46" s="77"/>
      <c r="B46" s="40" t="s">
        <v>96</v>
      </c>
      <c r="C46" s="41" t="s">
        <v>61</v>
      </c>
      <c r="D46" s="42">
        <v>46142</v>
      </c>
      <c r="E46" s="43" t="s">
        <v>76</v>
      </c>
      <c r="F46" s="44">
        <v>1939</v>
      </c>
      <c r="G46" s="45">
        <v>250</v>
      </c>
      <c r="H46" s="45">
        <v>250250</v>
      </c>
    </row>
    <row r="47" spans="1:8" hidden="1" x14ac:dyDescent="0.3">
      <c r="A47" s="77"/>
      <c r="B47" s="40" t="s">
        <v>97</v>
      </c>
      <c r="C47" s="41" t="s">
        <v>61</v>
      </c>
      <c r="D47" s="42">
        <v>46142</v>
      </c>
      <c r="E47" s="43" t="s">
        <v>76</v>
      </c>
      <c r="F47" s="44">
        <v>1939</v>
      </c>
      <c r="G47" s="45">
        <v>250</v>
      </c>
      <c r="H47" s="45">
        <v>250250</v>
      </c>
    </row>
    <row r="48" spans="1:8" hidden="1" x14ac:dyDescent="0.3">
      <c r="A48" s="77"/>
      <c r="B48" s="40" t="s">
        <v>98</v>
      </c>
      <c r="C48" s="41" t="s">
        <v>61</v>
      </c>
      <c r="D48" s="42">
        <v>46142</v>
      </c>
      <c r="E48" s="43" t="s">
        <v>76</v>
      </c>
      <c r="F48" s="44">
        <v>1939</v>
      </c>
      <c r="G48" s="45">
        <v>250</v>
      </c>
      <c r="H48" s="45">
        <v>250250</v>
      </c>
    </row>
    <row r="49" spans="1:8" s="58" customFormat="1" ht="15.6" x14ac:dyDescent="0.3">
      <c r="A49" s="77"/>
      <c r="B49" s="81" t="s">
        <v>99</v>
      </c>
      <c r="C49" s="81"/>
      <c r="D49" s="81"/>
      <c r="E49" s="82"/>
      <c r="F49" s="56"/>
      <c r="G49" s="57">
        <f>SUM(G26:G48)</f>
        <v>7500</v>
      </c>
      <c r="H49" s="57">
        <f>SUM(H26:H48)</f>
        <v>7507500</v>
      </c>
    </row>
  </sheetData>
  <autoFilter ref="A1:H49" xr:uid="{68CCAEA1-ED6C-4EC6-B915-4C6129F9B2CD}">
    <filterColumn colId="4">
      <filters blank="1">
        <filter val="O-D 26"/>
      </filters>
    </filterColumn>
  </autoFilter>
  <mergeCells count="4">
    <mergeCell ref="A2:A49"/>
    <mergeCell ref="B2:E2"/>
    <mergeCell ref="B24:E24"/>
    <mergeCell ref="B49:E49"/>
  </mergeCells>
  <pageMargins left="0.70866141732283472" right="0.70866141732283472" top="0.74803149606299213" bottom="0.74803149606299213" header="0.31496062992125984" footer="0.31496062992125984"/>
  <pageSetup paperSize="9" scale="8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88A51-718D-4522-8366-2680D1AF2B00}">
  <sheetPr filterMode="1"/>
  <dimension ref="A2:U63"/>
  <sheetViews>
    <sheetView topLeftCell="A12" zoomScaleNormal="100" workbookViewId="0">
      <pane xSplit="8" topLeftCell="I1" activePane="topRight" state="frozen"/>
      <selection pane="topRight" activeCell="A16" sqref="A16:XFD19"/>
    </sheetView>
  </sheetViews>
  <sheetFormatPr baseColWidth="10" defaultRowHeight="14.4" x14ac:dyDescent="0.3"/>
  <cols>
    <col min="1" max="1" width="14.5546875" bestFit="1" customWidth="1"/>
    <col min="2" max="2" width="4.6640625" customWidth="1"/>
    <col min="3" max="3" width="44.6640625" bestFit="1" customWidth="1"/>
    <col min="4" max="4" width="25.88671875" customWidth="1"/>
    <col min="5" max="5" width="17.109375" bestFit="1" customWidth="1"/>
    <col min="6" max="6" width="15.44140625" customWidth="1"/>
    <col min="7" max="7" width="17.109375" bestFit="1" customWidth="1"/>
    <col min="8" max="8" width="17.21875" customWidth="1"/>
    <col min="9" max="9" width="12.109375" bestFit="1" customWidth="1"/>
    <col min="10" max="10" width="19.109375" customWidth="1"/>
    <col min="11" max="11" width="11.44140625" customWidth="1"/>
    <col min="12" max="12" width="9.109375" customWidth="1"/>
    <col min="13" max="13" width="11.33203125" customWidth="1"/>
    <col min="14" max="14" width="13.88671875" bestFit="1" customWidth="1"/>
    <col min="15" max="15" width="13" customWidth="1"/>
    <col min="16" max="16" width="18" customWidth="1"/>
    <col min="17" max="17" width="22.109375" customWidth="1"/>
    <col min="18" max="18" width="19.77734375" customWidth="1"/>
    <col min="19" max="19" width="22.21875" customWidth="1"/>
    <col min="20" max="20" width="15.21875" bestFit="1" customWidth="1"/>
  </cols>
  <sheetData>
    <row r="2" spans="1:21" ht="21" x14ac:dyDescent="0.4">
      <c r="A2" s="1" t="s">
        <v>0</v>
      </c>
      <c r="B2" s="2">
        <f>655.957/1000</f>
        <v>0.65595700000000001</v>
      </c>
      <c r="U2" s="3"/>
    </row>
    <row r="3" spans="1:21" ht="21" x14ac:dyDescent="0.4">
      <c r="A3" s="4"/>
      <c r="B3" s="4"/>
      <c r="D3" s="31" t="s">
        <v>42</v>
      </c>
      <c r="F3" s="5"/>
      <c r="G3" s="5"/>
      <c r="L3" s="6"/>
      <c r="Q3" s="7">
        <f>15/655.957</f>
        <v>2.2867352585611556E-2</v>
      </c>
      <c r="U3" s="3"/>
    </row>
    <row r="4" spans="1:21" ht="21" x14ac:dyDescent="0.4">
      <c r="A4" s="4"/>
      <c r="B4" s="4"/>
      <c r="L4" s="6"/>
      <c r="U4" s="3"/>
    </row>
    <row r="5" spans="1:21" ht="21" x14ac:dyDescent="0.4">
      <c r="A5" s="4"/>
      <c r="B5" s="4"/>
      <c r="U5" s="3"/>
    </row>
    <row r="6" spans="1:21" ht="48.6" x14ac:dyDescent="0.4">
      <c r="A6" s="4"/>
      <c r="B6" s="4"/>
      <c r="D6" s="8" t="s">
        <v>1</v>
      </c>
      <c r="E6" s="8" t="s">
        <v>2</v>
      </c>
      <c r="F6" s="8" t="s">
        <v>3</v>
      </c>
      <c r="G6" s="8" t="s">
        <v>4</v>
      </c>
      <c r="H6" s="8" t="s">
        <v>5</v>
      </c>
      <c r="I6" s="74" t="s">
        <v>6</v>
      </c>
      <c r="J6" s="75"/>
      <c r="K6" s="8" t="s">
        <v>7</v>
      </c>
      <c r="L6" s="8" t="s">
        <v>8</v>
      </c>
      <c r="M6" s="8" t="s">
        <v>9</v>
      </c>
      <c r="N6" s="8" t="s">
        <v>10</v>
      </c>
      <c r="O6" s="8" t="s">
        <v>11</v>
      </c>
      <c r="P6" s="8" t="s">
        <v>12</v>
      </c>
      <c r="Q6" s="8" t="s">
        <v>13</v>
      </c>
      <c r="R6" s="8" t="s">
        <v>14</v>
      </c>
      <c r="S6" s="8" t="s">
        <v>15</v>
      </c>
      <c r="T6" s="8" t="s">
        <v>16</v>
      </c>
      <c r="U6" s="3"/>
    </row>
    <row r="7" spans="1:21" ht="21" x14ac:dyDescent="0.4">
      <c r="A7" s="4"/>
      <c r="B7" s="4"/>
      <c r="D7" s="30" t="s">
        <v>20</v>
      </c>
      <c r="E7" s="28">
        <f>SUM(E8:E55)</f>
        <v>16000</v>
      </c>
      <c r="F7" s="9"/>
      <c r="G7" s="9"/>
      <c r="H7" s="9"/>
      <c r="I7" s="10"/>
      <c r="J7" s="10"/>
      <c r="K7" s="11"/>
      <c r="L7" s="12"/>
      <c r="M7" s="13">
        <v>5.0749999999999997E-3</v>
      </c>
      <c r="N7" s="14">
        <v>0.01</v>
      </c>
      <c r="O7" s="15"/>
      <c r="P7" s="16"/>
      <c r="Q7" s="17"/>
      <c r="R7" s="17"/>
      <c r="S7" s="17">
        <f t="shared" ref="S7:S15" si="0">R7*$B$2</f>
        <v>0</v>
      </c>
      <c r="U7" s="3"/>
    </row>
    <row r="8" spans="1:21" ht="21" x14ac:dyDescent="0.4">
      <c r="A8" s="4"/>
      <c r="B8" s="4"/>
      <c r="C8" s="9" t="s">
        <v>37</v>
      </c>
      <c r="D8" s="18" t="s">
        <v>38</v>
      </c>
      <c r="E8" s="19">
        <v>500</v>
      </c>
      <c r="F8" s="18" t="s">
        <v>62</v>
      </c>
      <c r="G8" s="32"/>
      <c r="H8" s="19">
        <v>1878</v>
      </c>
      <c r="I8" s="20">
        <f>+G8-H8</f>
        <v>-1878</v>
      </c>
      <c r="J8" s="20" t="s">
        <v>17</v>
      </c>
      <c r="K8" s="21">
        <v>40</v>
      </c>
      <c r="L8" s="21">
        <v>1</v>
      </c>
      <c r="M8" s="22">
        <f t="shared" ref="M8:M63" si="1">H8*$M$7</f>
        <v>9.5308499999999992</v>
      </c>
      <c r="N8" s="23">
        <f t="shared" ref="N8:N63" si="2">H8*$N$7</f>
        <v>18.78</v>
      </c>
      <c r="O8" s="23">
        <f>SUM(K8:N8)</f>
        <v>69.310850000000002</v>
      </c>
      <c r="P8" s="24">
        <f>H8-O8</f>
        <v>1808.6891499999999</v>
      </c>
      <c r="Q8" s="25">
        <f>M8+P8</f>
        <v>1818.22</v>
      </c>
      <c r="R8" s="29">
        <v>7241</v>
      </c>
      <c r="S8" s="26">
        <f>R8*$B$2</f>
        <v>4749.7846369999997</v>
      </c>
      <c r="T8" s="27">
        <f>S8-Q8</f>
        <v>2931.5646369999995</v>
      </c>
      <c r="U8" s="3"/>
    </row>
    <row r="9" spans="1:21" ht="21" x14ac:dyDescent="0.4">
      <c r="A9" s="4"/>
      <c r="B9" s="4"/>
      <c r="C9" s="9" t="s">
        <v>37</v>
      </c>
      <c r="D9" s="18" t="s">
        <v>39</v>
      </c>
      <c r="E9" s="19">
        <v>500</v>
      </c>
      <c r="F9" s="18" t="s">
        <v>62</v>
      </c>
      <c r="G9" s="32"/>
      <c r="H9" s="19">
        <v>1878</v>
      </c>
      <c r="I9" s="20">
        <f>+G9-H9</f>
        <v>-1878</v>
      </c>
      <c r="J9" s="20" t="s">
        <v>17</v>
      </c>
      <c r="K9" s="21">
        <v>40</v>
      </c>
      <c r="L9" s="21">
        <v>1</v>
      </c>
      <c r="M9" s="22">
        <f t="shared" si="1"/>
        <v>9.5308499999999992</v>
      </c>
      <c r="N9" s="23">
        <f t="shared" si="2"/>
        <v>18.78</v>
      </c>
      <c r="O9" s="23">
        <f>SUM(K9:N9)</f>
        <v>69.310850000000002</v>
      </c>
      <c r="P9" s="24">
        <f t="shared" ref="P9:P63" si="3">H9-O9</f>
        <v>1808.6891499999999</v>
      </c>
      <c r="Q9" s="25">
        <f>M9+P9</f>
        <v>1818.22</v>
      </c>
      <c r="R9" s="29">
        <v>7241</v>
      </c>
      <c r="S9" s="26">
        <f t="shared" si="0"/>
        <v>4749.7846369999997</v>
      </c>
      <c r="T9" s="27">
        <f>S9-Q9</f>
        <v>2931.5646369999995</v>
      </c>
      <c r="U9" s="3"/>
    </row>
    <row r="10" spans="1:21" ht="21" x14ac:dyDescent="0.4">
      <c r="A10" s="4"/>
      <c r="B10" s="4"/>
      <c r="C10" s="9" t="s">
        <v>37</v>
      </c>
      <c r="D10" s="18" t="s">
        <v>40</v>
      </c>
      <c r="E10" s="19">
        <v>500</v>
      </c>
      <c r="F10" s="18" t="s">
        <v>62</v>
      </c>
      <c r="G10" s="32"/>
      <c r="H10" s="19">
        <v>1878</v>
      </c>
      <c r="I10" s="20">
        <f t="shared" ref="I10:I63" si="4">+G10-H10</f>
        <v>-1878</v>
      </c>
      <c r="J10" s="20" t="s">
        <v>17</v>
      </c>
      <c r="K10" s="21">
        <v>40</v>
      </c>
      <c r="L10" s="21">
        <v>1</v>
      </c>
      <c r="M10" s="22">
        <f t="shared" si="1"/>
        <v>9.5308499999999992</v>
      </c>
      <c r="N10" s="23">
        <f t="shared" si="2"/>
        <v>18.78</v>
      </c>
      <c r="O10" s="23">
        <f t="shared" ref="O10:O63" si="5">SUM(K10:N10)</f>
        <v>69.310850000000002</v>
      </c>
      <c r="P10" s="24">
        <f t="shared" si="3"/>
        <v>1808.6891499999999</v>
      </c>
      <c r="Q10" s="25">
        <f t="shared" ref="Q10:Q63" si="6">M10+P10</f>
        <v>1818.22</v>
      </c>
      <c r="R10" s="29">
        <v>7241</v>
      </c>
      <c r="S10" s="26">
        <f t="shared" si="0"/>
        <v>4749.7846369999997</v>
      </c>
      <c r="T10" s="27">
        <f t="shared" ref="T10:T63" si="7">S10-Q10</f>
        <v>2931.5646369999995</v>
      </c>
      <c r="U10" s="3"/>
    </row>
    <row r="11" spans="1:21" ht="21" x14ac:dyDescent="0.4">
      <c r="A11" s="4"/>
      <c r="B11" s="4"/>
      <c r="C11" s="9" t="s">
        <v>37</v>
      </c>
      <c r="D11" s="18" t="s">
        <v>41</v>
      </c>
      <c r="E11" s="19">
        <v>500</v>
      </c>
      <c r="F11" s="18" t="s">
        <v>62</v>
      </c>
      <c r="G11" s="32"/>
      <c r="H11" s="19">
        <v>1878</v>
      </c>
      <c r="I11" s="20">
        <f t="shared" si="4"/>
        <v>-1878</v>
      </c>
      <c r="J11" s="20" t="s">
        <v>17</v>
      </c>
      <c r="K11" s="21">
        <v>40</v>
      </c>
      <c r="L11" s="21">
        <v>1</v>
      </c>
      <c r="M11" s="22">
        <f t="shared" si="1"/>
        <v>9.5308499999999992</v>
      </c>
      <c r="N11" s="23">
        <f t="shared" si="2"/>
        <v>18.78</v>
      </c>
      <c r="O11" s="23">
        <f t="shared" si="5"/>
        <v>69.310850000000002</v>
      </c>
      <c r="P11" s="24">
        <f t="shared" si="3"/>
        <v>1808.6891499999999</v>
      </c>
      <c r="Q11" s="25">
        <f t="shared" si="6"/>
        <v>1818.22</v>
      </c>
      <c r="R11" s="29">
        <v>7241</v>
      </c>
      <c r="S11" s="26">
        <f t="shared" si="0"/>
        <v>4749.7846369999997</v>
      </c>
      <c r="T11" s="27">
        <f t="shared" si="7"/>
        <v>2931.5646369999995</v>
      </c>
      <c r="U11" s="3"/>
    </row>
    <row r="12" spans="1:21" ht="21" x14ac:dyDescent="0.4">
      <c r="A12" s="4"/>
      <c r="B12" s="4"/>
      <c r="C12" s="9" t="s">
        <v>47</v>
      </c>
      <c r="D12" s="18" t="s">
        <v>43</v>
      </c>
      <c r="E12" s="19">
        <v>250</v>
      </c>
      <c r="F12" s="18" t="s">
        <v>62</v>
      </c>
      <c r="G12" s="32"/>
      <c r="H12" s="19">
        <v>1868</v>
      </c>
      <c r="I12" s="20">
        <f t="shared" si="4"/>
        <v>-1868</v>
      </c>
      <c r="J12" s="20" t="s">
        <v>17</v>
      </c>
      <c r="K12" s="21">
        <v>40</v>
      </c>
      <c r="L12" s="21">
        <v>1</v>
      </c>
      <c r="M12" s="22">
        <f t="shared" si="1"/>
        <v>9.4801000000000002</v>
      </c>
      <c r="N12" s="23">
        <f t="shared" si="2"/>
        <v>18.68</v>
      </c>
      <c r="O12" s="23">
        <f t="shared" si="5"/>
        <v>69.1601</v>
      </c>
      <c r="P12" s="24">
        <f t="shared" si="3"/>
        <v>1798.8398999999999</v>
      </c>
      <c r="Q12" s="25">
        <f t="shared" si="6"/>
        <v>1808.32</v>
      </c>
      <c r="R12" s="29">
        <v>7241</v>
      </c>
      <c r="S12" s="26">
        <f t="shared" si="0"/>
        <v>4749.7846369999997</v>
      </c>
      <c r="T12" s="27">
        <f t="shared" si="7"/>
        <v>2941.464637</v>
      </c>
      <c r="U12" s="3"/>
    </row>
    <row r="13" spans="1:21" ht="21" x14ac:dyDescent="0.4">
      <c r="A13" s="4"/>
      <c r="B13" s="4"/>
      <c r="C13" s="9" t="s">
        <v>47</v>
      </c>
      <c r="D13" s="18" t="s">
        <v>44</v>
      </c>
      <c r="E13" s="19">
        <v>250</v>
      </c>
      <c r="F13" s="18" t="s">
        <v>62</v>
      </c>
      <c r="G13" s="32"/>
      <c r="H13" s="19">
        <v>1868</v>
      </c>
      <c r="I13" s="20">
        <f t="shared" si="4"/>
        <v>-1868</v>
      </c>
      <c r="J13" s="20" t="s">
        <v>17</v>
      </c>
      <c r="K13" s="21">
        <v>40</v>
      </c>
      <c r="L13" s="21">
        <v>1</v>
      </c>
      <c r="M13" s="22">
        <f t="shared" si="1"/>
        <v>9.4801000000000002</v>
      </c>
      <c r="N13" s="23">
        <f t="shared" si="2"/>
        <v>18.68</v>
      </c>
      <c r="O13" s="23">
        <f t="shared" si="5"/>
        <v>69.1601</v>
      </c>
      <c r="P13" s="24">
        <f t="shared" si="3"/>
        <v>1798.8398999999999</v>
      </c>
      <c r="Q13" s="25">
        <f t="shared" si="6"/>
        <v>1808.32</v>
      </c>
      <c r="R13" s="29">
        <v>7241</v>
      </c>
      <c r="S13" s="26">
        <f t="shared" si="0"/>
        <v>4749.7846369999997</v>
      </c>
      <c r="T13" s="27">
        <f t="shared" si="7"/>
        <v>2941.464637</v>
      </c>
      <c r="U13" s="3"/>
    </row>
    <row r="14" spans="1:21" ht="21" x14ac:dyDescent="0.4">
      <c r="A14" s="4"/>
      <c r="B14" s="4"/>
      <c r="C14" s="9" t="s">
        <v>47</v>
      </c>
      <c r="D14" s="18" t="s">
        <v>45</v>
      </c>
      <c r="E14" s="19">
        <v>250</v>
      </c>
      <c r="F14" s="18" t="s">
        <v>62</v>
      </c>
      <c r="G14" s="32"/>
      <c r="H14" s="19">
        <v>1868</v>
      </c>
      <c r="I14" s="20">
        <f t="shared" si="4"/>
        <v>-1868</v>
      </c>
      <c r="J14" s="20" t="s">
        <v>17</v>
      </c>
      <c r="K14" s="21">
        <v>40</v>
      </c>
      <c r="L14" s="21">
        <v>1</v>
      </c>
      <c r="M14" s="22">
        <f t="shared" si="1"/>
        <v>9.4801000000000002</v>
      </c>
      <c r="N14" s="23">
        <f t="shared" si="2"/>
        <v>18.68</v>
      </c>
      <c r="O14" s="23">
        <f t="shared" si="5"/>
        <v>69.1601</v>
      </c>
      <c r="P14" s="24">
        <f t="shared" si="3"/>
        <v>1798.8398999999999</v>
      </c>
      <c r="Q14" s="25">
        <f t="shared" si="6"/>
        <v>1808.32</v>
      </c>
      <c r="R14" s="29">
        <v>7241</v>
      </c>
      <c r="S14" s="26">
        <f t="shared" si="0"/>
        <v>4749.7846369999997</v>
      </c>
      <c r="T14" s="27">
        <f t="shared" si="7"/>
        <v>2941.464637</v>
      </c>
      <c r="U14" s="3"/>
    </row>
    <row r="15" spans="1:21" s="71" customFormat="1" ht="21" x14ac:dyDescent="0.4">
      <c r="A15" s="59"/>
      <c r="B15" s="59"/>
      <c r="C15" s="60" t="s">
        <v>47</v>
      </c>
      <c r="D15" s="61" t="s">
        <v>46</v>
      </c>
      <c r="E15" s="62">
        <v>250</v>
      </c>
      <c r="F15" s="61" t="s">
        <v>62</v>
      </c>
      <c r="G15" s="62"/>
      <c r="H15" s="62">
        <v>1868</v>
      </c>
      <c r="I15" s="62">
        <f t="shared" si="4"/>
        <v>-1868</v>
      </c>
      <c r="J15" s="62" t="s">
        <v>17</v>
      </c>
      <c r="K15" s="63">
        <v>40</v>
      </c>
      <c r="L15" s="63">
        <v>1</v>
      </c>
      <c r="M15" s="64">
        <f t="shared" si="1"/>
        <v>9.4801000000000002</v>
      </c>
      <c r="N15" s="65">
        <f t="shared" si="2"/>
        <v>18.68</v>
      </c>
      <c r="O15" s="65">
        <f t="shared" si="5"/>
        <v>69.1601</v>
      </c>
      <c r="P15" s="66">
        <f t="shared" si="3"/>
        <v>1798.8398999999999</v>
      </c>
      <c r="Q15" s="67">
        <f t="shared" si="6"/>
        <v>1808.32</v>
      </c>
      <c r="R15" s="68">
        <v>7241</v>
      </c>
      <c r="S15" s="68">
        <f t="shared" si="0"/>
        <v>4749.7846369999997</v>
      </c>
      <c r="T15" s="69">
        <f t="shared" si="7"/>
        <v>2941.464637</v>
      </c>
      <c r="U15" s="70"/>
    </row>
    <row r="16" spans="1:21" s="71" customFormat="1" ht="21" x14ac:dyDescent="0.4">
      <c r="A16" s="59"/>
      <c r="B16" s="59"/>
      <c r="C16" s="60" t="s">
        <v>19</v>
      </c>
      <c r="D16" s="61" t="s">
        <v>21</v>
      </c>
      <c r="E16" s="62">
        <v>250</v>
      </c>
      <c r="F16" s="61" t="s">
        <v>25</v>
      </c>
      <c r="G16" s="62">
        <v>4149.7510000000002</v>
      </c>
      <c r="H16" s="62">
        <v>4314</v>
      </c>
      <c r="I16" s="62">
        <f t="shared" si="4"/>
        <v>-164.2489999999998</v>
      </c>
      <c r="J16" s="62" t="s">
        <v>17</v>
      </c>
      <c r="K16" s="63">
        <v>40</v>
      </c>
      <c r="L16" s="63">
        <v>1</v>
      </c>
      <c r="M16" s="64">
        <f t="shared" si="1"/>
        <v>21.893549999999998</v>
      </c>
      <c r="N16" s="65">
        <f t="shared" si="2"/>
        <v>43.14</v>
      </c>
      <c r="O16" s="65">
        <f t="shared" si="5"/>
        <v>106.03354999999999</v>
      </c>
      <c r="P16" s="66">
        <f t="shared" si="3"/>
        <v>4207.9664499999999</v>
      </c>
      <c r="Q16" s="67">
        <f t="shared" si="6"/>
        <v>4229.8599999999997</v>
      </c>
      <c r="R16" s="68">
        <v>2177.4</v>
      </c>
      <c r="S16" s="68">
        <f>R16*$B$2</f>
        <v>1428.2807718000001</v>
      </c>
      <c r="T16" s="69">
        <f t="shared" si="7"/>
        <v>-2801.5792281999993</v>
      </c>
      <c r="U16" s="70"/>
    </row>
    <row r="17" spans="1:21" s="71" customFormat="1" ht="21" x14ac:dyDescent="0.4">
      <c r="A17" s="59"/>
      <c r="B17" s="59"/>
      <c r="C17" s="60" t="s">
        <v>19</v>
      </c>
      <c r="D17" s="61" t="s">
        <v>22</v>
      </c>
      <c r="E17" s="62">
        <v>250</v>
      </c>
      <c r="F17" s="61" t="s">
        <v>25</v>
      </c>
      <c r="G17" s="62">
        <v>4149.7510000000002</v>
      </c>
      <c r="H17" s="62">
        <v>4314</v>
      </c>
      <c r="I17" s="62">
        <f t="shared" si="4"/>
        <v>-164.2489999999998</v>
      </c>
      <c r="J17" s="62" t="s">
        <v>17</v>
      </c>
      <c r="K17" s="63">
        <v>40</v>
      </c>
      <c r="L17" s="63">
        <v>1</v>
      </c>
      <c r="M17" s="64">
        <f t="shared" si="1"/>
        <v>21.893549999999998</v>
      </c>
      <c r="N17" s="65">
        <f t="shared" si="2"/>
        <v>43.14</v>
      </c>
      <c r="O17" s="65">
        <f t="shared" si="5"/>
        <v>106.03354999999999</v>
      </c>
      <c r="P17" s="66">
        <f t="shared" si="3"/>
        <v>4207.9664499999999</v>
      </c>
      <c r="Q17" s="67">
        <f t="shared" si="6"/>
        <v>4229.8599999999997</v>
      </c>
      <c r="R17" s="68">
        <v>2172.87</v>
      </c>
      <c r="S17" s="68">
        <f>R17*$B$2</f>
        <v>1425.3092865900001</v>
      </c>
      <c r="T17" s="69">
        <f t="shared" si="7"/>
        <v>-2804.5507134099998</v>
      </c>
      <c r="U17" s="70"/>
    </row>
    <row r="18" spans="1:21" s="71" customFormat="1" ht="21" x14ac:dyDescent="0.4">
      <c r="A18" s="59"/>
      <c r="B18" s="59"/>
      <c r="C18" s="60" t="s">
        <v>19</v>
      </c>
      <c r="D18" s="61" t="s">
        <v>23</v>
      </c>
      <c r="E18" s="62">
        <v>250</v>
      </c>
      <c r="F18" s="61" t="s">
        <v>25</v>
      </c>
      <c r="G18" s="62">
        <v>4149.7510000000002</v>
      </c>
      <c r="H18" s="62">
        <v>4314</v>
      </c>
      <c r="I18" s="62">
        <f t="shared" si="4"/>
        <v>-164.2489999999998</v>
      </c>
      <c r="J18" s="62" t="s">
        <v>17</v>
      </c>
      <c r="K18" s="63">
        <v>40</v>
      </c>
      <c r="L18" s="63">
        <v>1</v>
      </c>
      <c r="M18" s="64">
        <f t="shared" si="1"/>
        <v>21.893549999999998</v>
      </c>
      <c r="N18" s="65">
        <f t="shared" si="2"/>
        <v>43.14</v>
      </c>
      <c r="O18" s="65">
        <f t="shared" si="5"/>
        <v>106.03354999999999</v>
      </c>
      <c r="P18" s="66">
        <f t="shared" si="3"/>
        <v>4207.9664499999999</v>
      </c>
      <c r="Q18" s="67">
        <f t="shared" si="6"/>
        <v>4229.8599999999997</v>
      </c>
      <c r="R18" s="68">
        <v>2276.38</v>
      </c>
      <c r="S18" s="68">
        <f t="shared" ref="S18" si="8">R18*$B$2</f>
        <v>1493.2073956600002</v>
      </c>
      <c r="T18" s="69">
        <f t="shared" si="7"/>
        <v>-2736.6526043399995</v>
      </c>
      <c r="U18" s="70"/>
    </row>
    <row r="19" spans="1:21" s="71" customFormat="1" ht="21" x14ac:dyDescent="0.4">
      <c r="A19" s="59"/>
      <c r="B19" s="59"/>
      <c r="C19" s="60" t="s">
        <v>19</v>
      </c>
      <c r="D19" s="61" t="s">
        <v>24</v>
      </c>
      <c r="E19" s="62">
        <v>250</v>
      </c>
      <c r="F19" s="61" t="s">
        <v>25</v>
      </c>
      <c r="G19" s="62">
        <v>4149.7510000000002</v>
      </c>
      <c r="H19" s="62">
        <v>4314</v>
      </c>
      <c r="I19" s="62">
        <f t="shared" si="4"/>
        <v>-164.2489999999998</v>
      </c>
      <c r="J19" s="62" t="s">
        <v>17</v>
      </c>
      <c r="K19" s="63">
        <v>40</v>
      </c>
      <c r="L19" s="63">
        <v>1</v>
      </c>
      <c r="M19" s="64">
        <f t="shared" si="1"/>
        <v>21.893549999999998</v>
      </c>
      <c r="N19" s="65">
        <f t="shared" si="2"/>
        <v>43.14</v>
      </c>
      <c r="O19" s="65">
        <f t="shared" si="5"/>
        <v>106.03354999999999</v>
      </c>
      <c r="P19" s="66">
        <f t="shared" si="3"/>
        <v>4207.9664499999999</v>
      </c>
      <c r="Q19" s="67">
        <f t="shared" si="6"/>
        <v>4229.8599999999997</v>
      </c>
      <c r="R19" s="68">
        <v>2177.4</v>
      </c>
      <c r="S19" s="68">
        <f>R19*$B$2</f>
        <v>1428.2807718000001</v>
      </c>
      <c r="T19" s="69">
        <f t="shared" si="7"/>
        <v>-2801.5792281999993</v>
      </c>
      <c r="U19" s="70"/>
    </row>
    <row r="20" spans="1:21" s="71" customFormat="1" ht="21" x14ac:dyDescent="0.4">
      <c r="A20" s="59"/>
      <c r="B20" s="59"/>
      <c r="C20" s="60" t="s">
        <v>19</v>
      </c>
      <c r="D20" s="61" t="s">
        <v>48</v>
      </c>
      <c r="E20" s="62">
        <v>1000</v>
      </c>
      <c r="F20" s="61" t="s">
        <v>62</v>
      </c>
      <c r="G20" s="62"/>
      <c r="H20" s="62">
        <v>1864</v>
      </c>
      <c r="I20" s="62">
        <f t="shared" si="4"/>
        <v>-1864</v>
      </c>
      <c r="J20" s="62" t="s">
        <v>17</v>
      </c>
      <c r="K20" s="63">
        <v>40</v>
      </c>
      <c r="L20" s="63">
        <v>1</v>
      </c>
      <c r="M20" s="64">
        <f t="shared" si="1"/>
        <v>9.4597999999999995</v>
      </c>
      <c r="N20" s="65">
        <f t="shared" si="2"/>
        <v>18.64</v>
      </c>
      <c r="O20" s="65">
        <f t="shared" si="5"/>
        <v>69.099800000000002</v>
      </c>
      <c r="P20" s="66">
        <f t="shared" si="3"/>
        <v>1794.9002</v>
      </c>
      <c r="Q20" s="67">
        <f t="shared" si="6"/>
        <v>1804.3600000000001</v>
      </c>
      <c r="R20" s="68">
        <v>7028</v>
      </c>
      <c r="S20" s="68">
        <f t="shared" ref="S20:S31" si="9">R20*$B$2</f>
        <v>4610.0657959999999</v>
      </c>
      <c r="T20" s="69">
        <f t="shared" si="7"/>
        <v>2805.7057959999997</v>
      </c>
      <c r="U20" s="70"/>
    </row>
    <row r="21" spans="1:21" s="71" customFormat="1" ht="21" x14ac:dyDescent="0.4">
      <c r="A21" s="59"/>
      <c r="B21" s="59"/>
      <c r="C21" s="60" t="s">
        <v>61</v>
      </c>
      <c r="D21" s="61" t="s">
        <v>49</v>
      </c>
      <c r="E21" s="62">
        <v>250</v>
      </c>
      <c r="F21" s="61" t="s">
        <v>62</v>
      </c>
      <c r="G21" s="62"/>
      <c r="H21" s="62">
        <v>1868</v>
      </c>
      <c r="I21" s="62">
        <v>-65.248999999999796</v>
      </c>
      <c r="J21" s="62" t="s">
        <v>17</v>
      </c>
      <c r="K21" s="63">
        <v>40</v>
      </c>
      <c r="L21" s="63">
        <v>1</v>
      </c>
      <c r="M21" s="64">
        <v>21.391124999999999</v>
      </c>
      <c r="N21" s="65">
        <v>42.15</v>
      </c>
      <c r="O21" s="65">
        <v>104.54112499999999</v>
      </c>
      <c r="P21" s="66">
        <v>4110.4588750000003</v>
      </c>
      <c r="Q21" s="67">
        <v>4131.8500000000004</v>
      </c>
      <c r="R21" s="68">
        <v>7028</v>
      </c>
      <c r="S21" s="68">
        <v>4610.0657959999999</v>
      </c>
      <c r="T21" s="69">
        <v>478.2157959999995</v>
      </c>
      <c r="U21" s="70"/>
    </row>
    <row r="22" spans="1:21" ht="21" x14ac:dyDescent="0.4">
      <c r="A22" s="4"/>
      <c r="B22" s="4"/>
      <c r="C22" s="9" t="s">
        <v>61</v>
      </c>
      <c r="D22" s="18" t="s">
        <v>50</v>
      </c>
      <c r="E22" s="19">
        <v>250</v>
      </c>
      <c r="F22" s="18" t="s">
        <v>62</v>
      </c>
      <c r="G22" s="32"/>
      <c r="H22" s="19">
        <v>1868</v>
      </c>
      <c r="I22" s="20">
        <v>-65.248999999999796</v>
      </c>
      <c r="J22" s="20" t="s">
        <v>17</v>
      </c>
      <c r="K22" s="21">
        <v>40</v>
      </c>
      <c r="L22" s="21">
        <v>1</v>
      </c>
      <c r="M22" s="22">
        <v>21.391124999999999</v>
      </c>
      <c r="N22" s="23">
        <v>42.15</v>
      </c>
      <c r="O22" s="23">
        <v>104.54112499999999</v>
      </c>
      <c r="P22" s="24">
        <v>4110.4588750000003</v>
      </c>
      <c r="Q22" s="25">
        <v>4131.8500000000004</v>
      </c>
      <c r="R22" s="29">
        <v>7028</v>
      </c>
      <c r="S22" s="26">
        <v>4610.0657959999999</v>
      </c>
      <c r="T22" s="27">
        <v>478.2157959999995</v>
      </c>
      <c r="U22" s="3"/>
    </row>
    <row r="23" spans="1:21" ht="21" x14ac:dyDescent="0.4">
      <c r="A23" s="4"/>
      <c r="B23" s="4"/>
      <c r="C23" s="9" t="s">
        <v>61</v>
      </c>
      <c r="D23" s="18" t="s">
        <v>51</v>
      </c>
      <c r="E23" s="19">
        <v>250</v>
      </c>
      <c r="F23" s="18" t="s">
        <v>62</v>
      </c>
      <c r="G23" s="32"/>
      <c r="H23" s="19">
        <v>1868</v>
      </c>
      <c r="I23" s="20">
        <v>-65.248999999999796</v>
      </c>
      <c r="J23" s="20" t="s">
        <v>17</v>
      </c>
      <c r="K23" s="21">
        <v>40</v>
      </c>
      <c r="L23" s="21">
        <v>1</v>
      </c>
      <c r="M23" s="22">
        <v>21.391124999999999</v>
      </c>
      <c r="N23" s="23">
        <v>42.15</v>
      </c>
      <c r="O23" s="23">
        <v>104.54112499999999</v>
      </c>
      <c r="P23" s="24">
        <v>4110.4588750000003</v>
      </c>
      <c r="Q23" s="25">
        <v>4131.8500000000004</v>
      </c>
      <c r="R23" s="29">
        <v>7028</v>
      </c>
      <c r="S23" s="26">
        <v>4610.0657959999999</v>
      </c>
      <c r="T23" s="27">
        <v>478.2157959999995</v>
      </c>
      <c r="U23" s="3"/>
    </row>
    <row r="24" spans="1:21" ht="21" x14ac:dyDescent="0.4">
      <c r="A24" s="4"/>
      <c r="B24" s="4"/>
      <c r="C24" s="9" t="s">
        <v>61</v>
      </c>
      <c r="D24" s="18" t="s">
        <v>52</v>
      </c>
      <c r="E24" s="19">
        <v>250</v>
      </c>
      <c r="F24" s="18" t="s">
        <v>62</v>
      </c>
      <c r="G24" s="32"/>
      <c r="H24" s="19">
        <v>1868</v>
      </c>
      <c r="I24" s="20">
        <v>-65.248999999999796</v>
      </c>
      <c r="J24" s="20" t="s">
        <v>17</v>
      </c>
      <c r="K24" s="21">
        <v>40</v>
      </c>
      <c r="L24" s="21">
        <v>1</v>
      </c>
      <c r="M24" s="22">
        <v>21.391124999999999</v>
      </c>
      <c r="N24" s="23">
        <v>42.15</v>
      </c>
      <c r="O24" s="23">
        <v>104.54112499999999</v>
      </c>
      <c r="P24" s="24">
        <v>4110.4588750000003</v>
      </c>
      <c r="Q24" s="25">
        <v>4131.8500000000004</v>
      </c>
      <c r="R24" s="29">
        <v>6403</v>
      </c>
      <c r="S24" s="26">
        <v>4200.0926710000003</v>
      </c>
      <c r="T24" s="27">
        <v>68.242670999999973</v>
      </c>
      <c r="U24" s="3"/>
    </row>
    <row r="25" spans="1:21" ht="21" x14ac:dyDescent="0.4">
      <c r="A25" s="4"/>
      <c r="B25" s="4"/>
      <c r="C25" s="9" t="s">
        <v>61</v>
      </c>
      <c r="D25" s="18" t="s">
        <v>53</v>
      </c>
      <c r="E25" s="19">
        <v>250</v>
      </c>
      <c r="F25" s="18" t="s">
        <v>62</v>
      </c>
      <c r="G25" s="32"/>
      <c r="H25" s="19">
        <v>1868</v>
      </c>
      <c r="I25" s="20">
        <v>-65.248999999999796</v>
      </c>
      <c r="J25" s="20" t="s">
        <v>17</v>
      </c>
      <c r="K25" s="21">
        <v>40</v>
      </c>
      <c r="L25" s="21">
        <v>1</v>
      </c>
      <c r="M25" s="22">
        <v>21.391124999999999</v>
      </c>
      <c r="N25" s="23">
        <v>42.15</v>
      </c>
      <c r="O25" s="23">
        <v>104.54112499999999</v>
      </c>
      <c r="P25" s="24">
        <v>4110.4588750000003</v>
      </c>
      <c r="Q25" s="25">
        <v>4131.8500000000004</v>
      </c>
      <c r="R25" s="29">
        <v>6403</v>
      </c>
      <c r="S25" s="26">
        <v>4200.0926710000003</v>
      </c>
      <c r="T25" s="27">
        <v>68.242670999999973</v>
      </c>
      <c r="U25" s="3"/>
    </row>
    <row r="26" spans="1:21" ht="21" x14ac:dyDescent="0.4">
      <c r="A26" s="4"/>
      <c r="B26" s="4"/>
      <c r="C26" s="9" t="s">
        <v>61</v>
      </c>
      <c r="D26" s="18" t="s">
        <v>54</v>
      </c>
      <c r="E26" s="19">
        <v>250</v>
      </c>
      <c r="F26" s="18" t="s">
        <v>62</v>
      </c>
      <c r="G26" s="32"/>
      <c r="H26" s="19">
        <v>1868</v>
      </c>
      <c r="I26" s="20">
        <v>-65.248999999999796</v>
      </c>
      <c r="J26" s="20" t="s">
        <v>17</v>
      </c>
      <c r="K26" s="21">
        <v>40</v>
      </c>
      <c r="L26" s="21">
        <v>1</v>
      </c>
      <c r="M26" s="22">
        <v>21.391124999999999</v>
      </c>
      <c r="N26" s="23">
        <v>42.15</v>
      </c>
      <c r="O26" s="23">
        <v>104.54112499999999</v>
      </c>
      <c r="P26" s="24">
        <v>4110.4588750000003</v>
      </c>
      <c r="Q26" s="25">
        <v>4131.8500000000004</v>
      </c>
      <c r="R26" s="29">
        <v>6403</v>
      </c>
      <c r="S26" s="26">
        <v>4200.0926710000003</v>
      </c>
      <c r="T26" s="27">
        <v>68.242670999999973</v>
      </c>
      <c r="U26" s="3"/>
    </row>
    <row r="27" spans="1:21" ht="21" x14ac:dyDescent="0.4">
      <c r="A27" s="4"/>
      <c r="B27" s="4"/>
      <c r="C27" s="9" t="s">
        <v>61</v>
      </c>
      <c r="D27" s="18" t="s">
        <v>55</v>
      </c>
      <c r="E27" s="19">
        <v>500</v>
      </c>
      <c r="F27" s="18" t="s">
        <v>62</v>
      </c>
      <c r="G27" s="32"/>
      <c r="H27" s="19">
        <v>1878</v>
      </c>
      <c r="I27" s="20">
        <v>-65.248999999999796</v>
      </c>
      <c r="J27" s="20" t="s">
        <v>17</v>
      </c>
      <c r="K27" s="21">
        <v>40</v>
      </c>
      <c r="L27" s="21">
        <v>1</v>
      </c>
      <c r="M27" s="22">
        <v>21.391124999999999</v>
      </c>
      <c r="N27" s="23">
        <v>42.15</v>
      </c>
      <c r="O27" s="23">
        <v>104.54112499999999</v>
      </c>
      <c r="P27" s="24">
        <v>4110.4588750000003</v>
      </c>
      <c r="Q27" s="25">
        <v>4131.8500000000004</v>
      </c>
      <c r="R27" s="29">
        <v>7028</v>
      </c>
      <c r="S27" s="26">
        <v>4610.0657959999999</v>
      </c>
      <c r="T27" s="27">
        <v>478.2157959999995</v>
      </c>
      <c r="U27" s="3"/>
    </row>
    <row r="28" spans="1:21" ht="21" x14ac:dyDescent="0.4">
      <c r="A28" s="4"/>
      <c r="B28" s="4"/>
      <c r="C28" s="9" t="s">
        <v>61</v>
      </c>
      <c r="D28" s="18" t="s">
        <v>56</v>
      </c>
      <c r="E28" s="19">
        <v>500</v>
      </c>
      <c r="F28" s="18" t="s">
        <v>62</v>
      </c>
      <c r="G28" s="32"/>
      <c r="H28" s="19">
        <v>1878</v>
      </c>
      <c r="I28" s="20">
        <v>-65.248999999999796</v>
      </c>
      <c r="J28" s="20" t="s">
        <v>17</v>
      </c>
      <c r="K28" s="21">
        <v>40</v>
      </c>
      <c r="L28" s="21">
        <v>1</v>
      </c>
      <c r="M28" s="22">
        <v>21.391124999999999</v>
      </c>
      <c r="N28" s="23">
        <v>42.15</v>
      </c>
      <c r="O28" s="23">
        <v>104.54112499999999</v>
      </c>
      <c r="P28" s="24">
        <v>4110.4588750000003</v>
      </c>
      <c r="Q28" s="25">
        <v>4131.8500000000004</v>
      </c>
      <c r="R28" s="29">
        <v>7028</v>
      </c>
      <c r="S28" s="26">
        <v>4610.0657959999999</v>
      </c>
      <c r="T28" s="27">
        <v>478.2157959999995</v>
      </c>
      <c r="U28" s="3"/>
    </row>
    <row r="29" spans="1:21" ht="21" x14ac:dyDescent="0.4">
      <c r="A29" s="4"/>
      <c r="B29" s="4"/>
      <c r="C29" s="9" t="s">
        <v>61</v>
      </c>
      <c r="D29" s="18" t="s">
        <v>57</v>
      </c>
      <c r="E29" s="19">
        <v>250</v>
      </c>
      <c r="F29" s="18" t="s">
        <v>62</v>
      </c>
      <c r="G29" s="32"/>
      <c r="H29" s="19">
        <v>1929</v>
      </c>
      <c r="I29" s="20">
        <v>-65.248999999999796</v>
      </c>
      <c r="J29" s="20" t="s">
        <v>17</v>
      </c>
      <c r="K29" s="21">
        <v>40</v>
      </c>
      <c r="L29" s="21">
        <v>1</v>
      </c>
      <c r="M29" s="22">
        <v>21.391124999999999</v>
      </c>
      <c r="N29" s="23">
        <v>42.15</v>
      </c>
      <c r="O29" s="23">
        <v>104.54112499999999</v>
      </c>
      <c r="P29" s="24">
        <v>4110.4588750000003</v>
      </c>
      <c r="Q29" s="25">
        <v>4131.8500000000004</v>
      </c>
      <c r="R29" s="29">
        <v>7028</v>
      </c>
      <c r="S29" s="26">
        <v>4610.0657959999999</v>
      </c>
      <c r="T29" s="27">
        <v>478.2157959999995</v>
      </c>
      <c r="U29" s="3"/>
    </row>
    <row r="30" spans="1:21" ht="21" x14ac:dyDescent="0.4">
      <c r="A30" s="4"/>
      <c r="B30" s="4"/>
      <c r="C30" s="9" t="s">
        <v>61</v>
      </c>
      <c r="D30" s="18" t="s">
        <v>58</v>
      </c>
      <c r="E30" s="19">
        <v>250</v>
      </c>
      <c r="F30" s="18" t="s">
        <v>62</v>
      </c>
      <c r="G30" s="32"/>
      <c r="H30" s="19">
        <v>1929</v>
      </c>
      <c r="I30" s="20">
        <v>-65.248999999999796</v>
      </c>
      <c r="J30" s="20" t="s">
        <v>17</v>
      </c>
      <c r="K30" s="21">
        <v>40</v>
      </c>
      <c r="L30" s="21">
        <v>1</v>
      </c>
      <c r="M30" s="22">
        <v>21.391124999999999</v>
      </c>
      <c r="N30" s="23">
        <v>42.15</v>
      </c>
      <c r="O30" s="23">
        <v>104.54112499999999</v>
      </c>
      <c r="P30" s="24">
        <v>4110.4588750000003</v>
      </c>
      <c r="Q30" s="25">
        <v>4131.8500000000004</v>
      </c>
      <c r="R30" s="29">
        <v>6403</v>
      </c>
      <c r="S30" s="26">
        <v>4200.0926710000003</v>
      </c>
      <c r="T30" s="27">
        <v>68.242670999999973</v>
      </c>
      <c r="U30" s="3"/>
    </row>
    <row r="31" spans="1:21" ht="21" x14ac:dyDescent="0.4">
      <c r="A31" s="4"/>
      <c r="B31" s="4"/>
      <c r="C31" s="9" t="s">
        <v>61</v>
      </c>
      <c r="D31" s="18" t="s">
        <v>59</v>
      </c>
      <c r="E31" s="19">
        <v>250</v>
      </c>
      <c r="F31" s="18" t="s">
        <v>62</v>
      </c>
      <c r="G31" s="32"/>
      <c r="H31" s="19">
        <v>1929</v>
      </c>
      <c r="I31" s="20">
        <f t="shared" si="4"/>
        <v>-1929</v>
      </c>
      <c r="J31" s="20" t="s">
        <v>17</v>
      </c>
      <c r="K31" s="21">
        <v>40</v>
      </c>
      <c r="L31" s="21">
        <v>1</v>
      </c>
      <c r="M31" s="22">
        <f t="shared" si="1"/>
        <v>9.789674999999999</v>
      </c>
      <c r="N31" s="23">
        <f t="shared" si="2"/>
        <v>19.29</v>
      </c>
      <c r="O31" s="23">
        <f t="shared" si="5"/>
        <v>70.079675000000009</v>
      </c>
      <c r="P31" s="24">
        <f t="shared" si="3"/>
        <v>1858.920325</v>
      </c>
      <c r="Q31" s="25">
        <f t="shared" si="6"/>
        <v>1868.71</v>
      </c>
      <c r="R31" s="29">
        <v>7028</v>
      </c>
      <c r="S31" s="26">
        <f t="shared" si="9"/>
        <v>4610.0657959999999</v>
      </c>
      <c r="T31" s="27">
        <f t="shared" si="7"/>
        <v>2741.3557959999998</v>
      </c>
      <c r="U31" s="3"/>
    </row>
    <row r="32" spans="1:21" ht="21" x14ac:dyDescent="0.4">
      <c r="A32" s="4"/>
      <c r="B32" s="4"/>
      <c r="C32" s="9" t="s">
        <v>61</v>
      </c>
      <c r="D32" s="18" t="s">
        <v>60</v>
      </c>
      <c r="E32" s="19">
        <v>250</v>
      </c>
      <c r="F32" s="18" t="s">
        <v>62</v>
      </c>
      <c r="G32" s="32"/>
      <c r="H32" s="19">
        <v>1929</v>
      </c>
      <c r="I32" s="20">
        <f t="shared" si="4"/>
        <v>-1929</v>
      </c>
      <c r="J32" s="20" t="s">
        <v>17</v>
      </c>
      <c r="K32" s="21">
        <v>40</v>
      </c>
      <c r="L32" s="21">
        <v>1</v>
      </c>
      <c r="M32" s="22">
        <f t="shared" si="1"/>
        <v>9.789674999999999</v>
      </c>
      <c r="N32" s="23">
        <f t="shared" si="2"/>
        <v>19.29</v>
      </c>
      <c r="O32" s="23">
        <f t="shared" si="5"/>
        <v>70.079675000000009</v>
      </c>
      <c r="P32" s="24">
        <f t="shared" si="3"/>
        <v>1858.920325</v>
      </c>
      <c r="Q32" s="25">
        <f t="shared" si="6"/>
        <v>1868.71</v>
      </c>
      <c r="R32" s="29">
        <v>7028</v>
      </c>
      <c r="S32" s="26">
        <f>R32*$B$2</f>
        <v>4610.0657959999999</v>
      </c>
      <c r="T32" s="27">
        <f t="shared" si="7"/>
        <v>2741.3557959999998</v>
      </c>
      <c r="U32" s="3"/>
    </row>
    <row r="33" spans="1:21" ht="21" x14ac:dyDescent="0.4">
      <c r="A33" s="4"/>
      <c r="B33" s="4"/>
      <c r="C33" s="9" t="s">
        <v>37</v>
      </c>
      <c r="D33" s="18" t="s">
        <v>89</v>
      </c>
      <c r="E33" s="19">
        <v>500</v>
      </c>
      <c r="F33" s="18" t="s">
        <v>100</v>
      </c>
      <c r="G33" s="32"/>
      <c r="H33" s="19">
        <v>1891</v>
      </c>
      <c r="I33" s="20">
        <f t="shared" si="4"/>
        <v>-1891</v>
      </c>
      <c r="J33" s="20" t="s">
        <v>17</v>
      </c>
      <c r="K33" s="21">
        <v>40</v>
      </c>
      <c r="L33" s="21">
        <v>1</v>
      </c>
      <c r="M33" s="22">
        <f t="shared" si="1"/>
        <v>9.5968249999999991</v>
      </c>
      <c r="N33" s="23">
        <f t="shared" si="2"/>
        <v>18.91</v>
      </c>
      <c r="O33" s="23">
        <f t="shared" si="5"/>
        <v>69.506824999999992</v>
      </c>
      <c r="P33" s="24">
        <f t="shared" si="3"/>
        <v>1821.4931750000001</v>
      </c>
      <c r="Q33" s="25">
        <f t="shared" si="6"/>
        <v>1831.0900000000001</v>
      </c>
      <c r="R33" s="29">
        <v>2276.38</v>
      </c>
      <c r="S33" s="26">
        <f t="shared" ref="S33:S52" si="10">R33*$B$2</f>
        <v>1493.2073956600002</v>
      </c>
      <c r="T33" s="27">
        <f t="shared" si="7"/>
        <v>-337.88260433999994</v>
      </c>
      <c r="U33" s="3"/>
    </row>
    <row r="34" spans="1:21" ht="21" x14ac:dyDescent="0.4">
      <c r="A34" s="4"/>
      <c r="B34" s="4"/>
      <c r="C34" s="9" t="s">
        <v>37</v>
      </c>
      <c r="D34" s="18" t="s">
        <v>90</v>
      </c>
      <c r="E34" s="19">
        <v>500</v>
      </c>
      <c r="F34" s="18" t="s">
        <v>100</v>
      </c>
      <c r="G34" s="32"/>
      <c r="H34" s="19">
        <v>1891</v>
      </c>
      <c r="I34" s="20">
        <f t="shared" si="4"/>
        <v>-1891</v>
      </c>
      <c r="J34" s="20" t="s">
        <v>17</v>
      </c>
      <c r="K34" s="21">
        <v>40</v>
      </c>
      <c r="L34" s="21">
        <v>1</v>
      </c>
      <c r="M34" s="22">
        <f t="shared" si="1"/>
        <v>9.5968249999999991</v>
      </c>
      <c r="N34" s="23">
        <f t="shared" si="2"/>
        <v>18.91</v>
      </c>
      <c r="O34" s="23">
        <f t="shared" si="5"/>
        <v>69.506824999999992</v>
      </c>
      <c r="P34" s="24">
        <f t="shared" si="3"/>
        <v>1821.4931750000001</v>
      </c>
      <c r="Q34" s="25">
        <f t="shared" si="6"/>
        <v>1831.0900000000001</v>
      </c>
      <c r="R34" s="29">
        <v>2308.08</v>
      </c>
      <c r="S34" s="26">
        <f t="shared" si="10"/>
        <v>1514.0012325600001</v>
      </c>
      <c r="T34" s="27">
        <f t="shared" si="7"/>
        <v>-317.08876744000008</v>
      </c>
      <c r="U34" s="3"/>
    </row>
    <row r="35" spans="1:21" ht="21" x14ac:dyDescent="0.4">
      <c r="A35" s="4"/>
      <c r="B35" s="4"/>
      <c r="C35" s="9" t="s">
        <v>47</v>
      </c>
      <c r="D35" s="18" t="s">
        <v>83</v>
      </c>
      <c r="E35" s="19">
        <v>250</v>
      </c>
      <c r="F35" s="18" t="s">
        <v>100</v>
      </c>
      <c r="G35" s="32"/>
      <c r="H35" s="19">
        <v>1880</v>
      </c>
      <c r="I35" s="20">
        <f t="shared" si="4"/>
        <v>-1880</v>
      </c>
      <c r="J35" s="20" t="s">
        <v>17</v>
      </c>
      <c r="K35" s="21">
        <v>40</v>
      </c>
      <c r="L35" s="21">
        <v>1</v>
      </c>
      <c r="M35" s="22">
        <f t="shared" si="1"/>
        <v>9.5409999999999986</v>
      </c>
      <c r="N35" s="23">
        <f t="shared" si="2"/>
        <v>18.8</v>
      </c>
      <c r="O35" s="23">
        <f t="shared" si="5"/>
        <v>69.340999999999994</v>
      </c>
      <c r="P35" s="24">
        <f t="shared" si="3"/>
        <v>1810.6590000000001</v>
      </c>
      <c r="Q35" s="25">
        <f t="shared" si="6"/>
        <v>1820.2</v>
      </c>
      <c r="R35" s="29">
        <v>2276.38</v>
      </c>
      <c r="S35" s="26">
        <f t="shared" si="10"/>
        <v>1493.2073956600002</v>
      </c>
      <c r="T35" s="27">
        <f t="shared" si="7"/>
        <v>-326.99260433999984</v>
      </c>
      <c r="U35" s="3"/>
    </row>
    <row r="36" spans="1:21" ht="21" x14ac:dyDescent="0.4">
      <c r="A36" s="4"/>
      <c r="B36" s="4"/>
      <c r="C36" s="9" t="s">
        <v>47</v>
      </c>
      <c r="D36" s="18" t="s">
        <v>84</v>
      </c>
      <c r="E36" s="19">
        <v>250</v>
      </c>
      <c r="F36" s="18" t="s">
        <v>100</v>
      </c>
      <c r="G36" s="32"/>
      <c r="H36" s="19">
        <v>1880</v>
      </c>
      <c r="I36" s="20">
        <f t="shared" si="4"/>
        <v>-1880</v>
      </c>
      <c r="J36" s="20" t="s">
        <v>17</v>
      </c>
      <c r="K36" s="21">
        <v>40</v>
      </c>
      <c r="L36" s="21">
        <v>1</v>
      </c>
      <c r="M36" s="22">
        <f t="shared" si="1"/>
        <v>9.5409999999999986</v>
      </c>
      <c r="N36" s="23">
        <f t="shared" si="2"/>
        <v>18.8</v>
      </c>
      <c r="O36" s="23">
        <f t="shared" si="5"/>
        <v>69.340999999999994</v>
      </c>
      <c r="P36" s="24">
        <f t="shared" si="3"/>
        <v>1810.6590000000001</v>
      </c>
      <c r="Q36" s="25">
        <f t="shared" si="6"/>
        <v>1820.2</v>
      </c>
      <c r="R36" s="29">
        <v>2308.08</v>
      </c>
      <c r="S36" s="26">
        <f t="shared" si="10"/>
        <v>1514.0012325600001</v>
      </c>
      <c r="T36" s="27">
        <f t="shared" si="7"/>
        <v>-306.19876743999998</v>
      </c>
      <c r="U36" s="3"/>
    </row>
    <row r="37" spans="1:21" ht="21" x14ac:dyDescent="0.4">
      <c r="A37" s="4"/>
      <c r="B37" s="4"/>
      <c r="C37" s="9" t="s">
        <v>47</v>
      </c>
      <c r="D37" s="18" t="s">
        <v>85</v>
      </c>
      <c r="E37" s="19">
        <v>250</v>
      </c>
      <c r="F37" s="18" t="s">
        <v>100</v>
      </c>
      <c r="G37" s="32"/>
      <c r="H37" s="19">
        <v>1880</v>
      </c>
      <c r="I37" s="20">
        <f t="shared" si="4"/>
        <v>-1880</v>
      </c>
      <c r="J37" s="20" t="s">
        <v>17</v>
      </c>
      <c r="K37" s="21">
        <v>40</v>
      </c>
      <c r="L37" s="21">
        <v>1</v>
      </c>
      <c r="M37" s="22">
        <f t="shared" si="1"/>
        <v>9.5409999999999986</v>
      </c>
      <c r="N37" s="23">
        <f t="shared" si="2"/>
        <v>18.8</v>
      </c>
      <c r="O37" s="23">
        <f t="shared" si="5"/>
        <v>69.340999999999994</v>
      </c>
      <c r="P37" s="24">
        <f t="shared" si="3"/>
        <v>1810.6590000000001</v>
      </c>
      <c r="Q37" s="25">
        <f t="shared" si="6"/>
        <v>1820.2</v>
      </c>
      <c r="R37" s="29">
        <v>2276.38</v>
      </c>
      <c r="S37" s="26">
        <f t="shared" si="10"/>
        <v>1493.2073956600002</v>
      </c>
      <c r="T37" s="27">
        <f t="shared" si="7"/>
        <v>-326.99260433999984</v>
      </c>
      <c r="U37" s="3"/>
    </row>
    <row r="38" spans="1:21" ht="21" x14ac:dyDescent="0.4">
      <c r="A38" s="4"/>
      <c r="B38" s="4"/>
      <c r="C38" s="9" t="s">
        <v>47</v>
      </c>
      <c r="D38" s="18" t="s">
        <v>86</v>
      </c>
      <c r="E38" s="19">
        <v>250</v>
      </c>
      <c r="F38" s="18" t="s">
        <v>100</v>
      </c>
      <c r="G38" s="32"/>
      <c r="H38" s="19">
        <v>1880</v>
      </c>
      <c r="I38" s="20">
        <f t="shared" si="4"/>
        <v>-1880</v>
      </c>
      <c r="J38" s="20" t="s">
        <v>17</v>
      </c>
      <c r="K38" s="21">
        <v>40</v>
      </c>
      <c r="L38" s="21">
        <v>1</v>
      </c>
      <c r="M38" s="22">
        <f t="shared" si="1"/>
        <v>9.5409999999999986</v>
      </c>
      <c r="N38" s="23">
        <f t="shared" si="2"/>
        <v>18.8</v>
      </c>
      <c r="O38" s="23">
        <f t="shared" si="5"/>
        <v>69.340999999999994</v>
      </c>
      <c r="P38" s="24">
        <f t="shared" si="3"/>
        <v>1810.6590000000001</v>
      </c>
      <c r="Q38" s="25">
        <f t="shared" si="6"/>
        <v>1820.2</v>
      </c>
      <c r="R38" s="29">
        <v>2308.08</v>
      </c>
      <c r="S38" s="26">
        <f t="shared" si="10"/>
        <v>1514.0012325600001</v>
      </c>
      <c r="T38" s="27">
        <f t="shared" si="7"/>
        <v>-306.19876743999998</v>
      </c>
      <c r="U38" s="3"/>
    </row>
    <row r="39" spans="1:21" ht="21" x14ac:dyDescent="0.4">
      <c r="A39" s="4"/>
      <c r="B39" s="4"/>
      <c r="C39" s="9" t="s">
        <v>19</v>
      </c>
      <c r="D39" s="18" t="s">
        <v>75</v>
      </c>
      <c r="E39" s="19">
        <v>1000</v>
      </c>
      <c r="F39" s="18" t="s">
        <v>100</v>
      </c>
      <c r="G39" s="32"/>
      <c r="H39" s="19">
        <v>1884</v>
      </c>
      <c r="I39" s="20">
        <f t="shared" si="4"/>
        <v>-1884</v>
      </c>
      <c r="J39" s="20" t="s">
        <v>17</v>
      </c>
      <c r="K39" s="21">
        <v>40</v>
      </c>
      <c r="L39" s="21">
        <v>1</v>
      </c>
      <c r="M39" s="22">
        <f t="shared" si="1"/>
        <v>9.5612999999999992</v>
      </c>
      <c r="N39" s="23">
        <f t="shared" si="2"/>
        <v>18.84</v>
      </c>
      <c r="O39" s="23">
        <f t="shared" si="5"/>
        <v>69.401300000000006</v>
      </c>
      <c r="P39" s="24">
        <f t="shared" si="3"/>
        <v>1814.5987</v>
      </c>
      <c r="Q39" s="25">
        <f t="shared" si="6"/>
        <v>1824.16</v>
      </c>
      <c r="R39" s="29">
        <v>2276.38</v>
      </c>
      <c r="S39" s="26">
        <f t="shared" si="10"/>
        <v>1493.2073956600002</v>
      </c>
      <c r="T39" s="27">
        <f t="shared" si="7"/>
        <v>-330.95260433999988</v>
      </c>
      <c r="U39" s="3"/>
    </row>
    <row r="40" spans="1:21" ht="21" x14ac:dyDescent="0.4">
      <c r="A40" s="4"/>
      <c r="B40" s="4"/>
      <c r="C40" s="9" t="s">
        <v>19</v>
      </c>
      <c r="D40" s="18" t="s">
        <v>91</v>
      </c>
      <c r="E40" s="19">
        <v>250</v>
      </c>
      <c r="F40" s="18" t="s">
        <v>100</v>
      </c>
      <c r="G40" s="32"/>
      <c r="H40" s="19">
        <v>1939</v>
      </c>
      <c r="I40" s="20">
        <f t="shared" si="4"/>
        <v>-1939</v>
      </c>
      <c r="J40" s="20" t="s">
        <v>17</v>
      </c>
      <c r="K40" s="21">
        <v>40</v>
      </c>
      <c r="L40" s="21">
        <v>1</v>
      </c>
      <c r="M40" s="22">
        <f t="shared" si="1"/>
        <v>9.8404249999999998</v>
      </c>
      <c r="N40" s="23">
        <f t="shared" si="2"/>
        <v>19.39</v>
      </c>
      <c r="O40" s="23">
        <f t="shared" si="5"/>
        <v>70.230424999999997</v>
      </c>
      <c r="P40" s="24">
        <f t="shared" si="3"/>
        <v>1868.769575</v>
      </c>
      <c r="Q40" s="25">
        <f t="shared" si="6"/>
        <v>1878.6100000000001</v>
      </c>
      <c r="R40" s="29">
        <v>2308.08</v>
      </c>
      <c r="S40" s="26">
        <f t="shared" si="10"/>
        <v>1514.0012325600001</v>
      </c>
      <c r="T40" s="27">
        <f t="shared" si="7"/>
        <v>-364.60876744000007</v>
      </c>
      <c r="U40" s="3"/>
    </row>
    <row r="41" spans="1:21" ht="21" x14ac:dyDescent="0.4">
      <c r="A41" s="4"/>
      <c r="B41" s="4"/>
      <c r="C41" s="9" t="s">
        <v>19</v>
      </c>
      <c r="D41" s="18" t="s">
        <v>92</v>
      </c>
      <c r="E41" s="19">
        <v>250</v>
      </c>
      <c r="F41" s="18" t="s">
        <v>100</v>
      </c>
      <c r="G41" s="32"/>
      <c r="H41" s="19">
        <v>1939</v>
      </c>
      <c r="I41" s="20">
        <f t="shared" si="4"/>
        <v>-1939</v>
      </c>
      <c r="J41" s="20" t="s">
        <v>17</v>
      </c>
      <c r="K41" s="21">
        <v>40</v>
      </c>
      <c r="L41" s="21">
        <v>1</v>
      </c>
      <c r="M41" s="22">
        <f t="shared" si="1"/>
        <v>9.8404249999999998</v>
      </c>
      <c r="N41" s="23">
        <f t="shared" si="2"/>
        <v>19.39</v>
      </c>
      <c r="O41" s="23">
        <f t="shared" si="5"/>
        <v>70.230424999999997</v>
      </c>
      <c r="P41" s="24">
        <f t="shared" si="3"/>
        <v>1868.769575</v>
      </c>
      <c r="Q41" s="25">
        <f t="shared" si="6"/>
        <v>1878.6100000000001</v>
      </c>
      <c r="R41" s="29">
        <v>2276.38</v>
      </c>
      <c r="S41" s="26">
        <f t="shared" si="10"/>
        <v>1493.2073956600002</v>
      </c>
      <c r="T41" s="27">
        <f t="shared" si="7"/>
        <v>-385.40260433999993</v>
      </c>
      <c r="U41" s="3"/>
    </row>
    <row r="42" spans="1:21" ht="21" x14ac:dyDescent="0.4">
      <c r="A42" s="4"/>
      <c r="B42" s="4"/>
      <c r="C42" s="9" t="s">
        <v>19</v>
      </c>
      <c r="D42" s="18" t="s">
        <v>93</v>
      </c>
      <c r="E42" s="19">
        <v>250</v>
      </c>
      <c r="F42" s="18" t="s">
        <v>100</v>
      </c>
      <c r="G42" s="32"/>
      <c r="H42" s="19">
        <v>1939</v>
      </c>
      <c r="I42" s="20">
        <f t="shared" si="4"/>
        <v>-1939</v>
      </c>
      <c r="J42" s="20" t="s">
        <v>17</v>
      </c>
      <c r="K42" s="21">
        <v>40</v>
      </c>
      <c r="L42" s="21">
        <v>1</v>
      </c>
      <c r="M42" s="22">
        <f t="shared" si="1"/>
        <v>9.8404249999999998</v>
      </c>
      <c r="N42" s="23">
        <f t="shared" si="2"/>
        <v>19.39</v>
      </c>
      <c r="O42" s="23">
        <f t="shared" si="5"/>
        <v>70.230424999999997</v>
      </c>
      <c r="P42" s="24">
        <f t="shared" si="3"/>
        <v>1868.769575</v>
      </c>
      <c r="Q42" s="25">
        <f t="shared" si="6"/>
        <v>1878.6100000000001</v>
      </c>
      <c r="R42" s="29">
        <v>2308.08</v>
      </c>
      <c r="S42" s="26">
        <f t="shared" si="10"/>
        <v>1514.0012325600001</v>
      </c>
      <c r="T42" s="27">
        <f t="shared" si="7"/>
        <v>-364.60876744000007</v>
      </c>
      <c r="U42" s="3"/>
    </row>
    <row r="43" spans="1:21" ht="21" x14ac:dyDescent="0.4">
      <c r="A43" s="4"/>
      <c r="B43" s="4"/>
      <c r="C43" s="9" t="s">
        <v>19</v>
      </c>
      <c r="D43" s="18" t="s">
        <v>94</v>
      </c>
      <c r="E43" s="19">
        <v>250</v>
      </c>
      <c r="F43" s="18" t="s">
        <v>100</v>
      </c>
      <c r="G43" s="32"/>
      <c r="H43" s="19">
        <v>1939</v>
      </c>
      <c r="I43" s="20">
        <f t="shared" si="4"/>
        <v>-1939</v>
      </c>
      <c r="J43" s="20" t="s">
        <v>17</v>
      </c>
      <c r="K43" s="21">
        <v>40</v>
      </c>
      <c r="L43" s="21">
        <v>1</v>
      </c>
      <c r="M43" s="22">
        <f t="shared" si="1"/>
        <v>9.8404249999999998</v>
      </c>
      <c r="N43" s="23">
        <f t="shared" si="2"/>
        <v>19.39</v>
      </c>
      <c r="O43" s="23">
        <f t="shared" si="5"/>
        <v>70.230424999999997</v>
      </c>
      <c r="P43" s="24">
        <f t="shared" si="3"/>
        <v>1868.769575</v>
      </c>
      <c r="Q43" s="25">
        <f t="shared" si="6"/>
        <v>1878.6100000000001</v>
      </c>
      <c r="R43" s="29">
        <v>2276.38</v>
      </c>
      <c r="S43" s="26">
        <f t="shared" si="10"/>
        <v>1493.2073956600002</v>
      </c>
      <c r="T43" s="27">
        <f t="shared" si="7"/>
        <v>-385.40260433999993</v>
      </c>
      <c r="U43" s="3"/>
    </row>
    <row r="44" spans="1:21" ht="21" x14ac:dyDescent="0.4">
      <c r="A44" s="4"/>
      <c r="B44" s="4"/>
      <c r="C44" s="9" t="s">
        <v>61</v>
      </c>
      <c r="D44" s="18" t="s">
        <v>77</v>
      </c>
      <c r="E44" s="19">
        <v>250</v>
      </c>
      <c r="F44" s="18" t="s">
        <v>100</v>
      </c>
      <c r="G44" s="32"/>
      <c r="H44" s="19">
        <v>1880</v>
      </c>
      <c r="I44" s="20">
        <f t="shared" si="4"/>
        <v>-1880</v>
      </c>
      <c r="J44" s="20" t="s">
        <v>17</v>
      </c>
      <c r="K44" s="21">
        <v>40</v>
      </c>
      <c r="L44" s="21">
        <v>1</v>
      </c>
      <c r="M44" s="22">
        <f t="shared" si="1"/>
        <v>9.5409999999999986</v>
      </c>
      <c r="N44" s="23">
        <f t="shared" si="2"/>
        <v>18.8</v>
      </c>
      <c r="O44" s="23">
        <f t="shared" si="5"/>
        <v>69.340999999999994</v>
      </c>
      <c r="P44" s="24">
        <f t="shared" si="3"/>
        <v>1810.6590000000001</v>
      </c>
      <c r="Q44" s="25">
        <f t="shared" si="6"/>
        <v>1820.2</v>
      </c>
      <c r="R44" s="29">
        <v>2308.08</v>
      </c>
      <c r="S44" s="26">
        <f t="shared" si="10"/>
        <v>1514.0012325600001</v>
      </c>
      <c r="T44" s="27">
        <f t="shared" si="7"/>
        <v>-306.19876743999998</v>
      </c>
      <c r="U44" s="3"/>
    </row>
    <row r="45" spans="1:21" ht="21" x14ac:dyDescent="0.4">
      <c r="A45" s="4"/>
      <c r="B45" s="4"/>
      <c r="C45" s="9" t="s">
        <v>61</v>
      </c>
      <c r="D45" s="18" t="s">
        <v>78</v>
      </c>
      <c r="E45" s="19">
        <v>250</v>
      </c>
      <c r="F45" s="18" t="s">
        <v>100</v>
      </c>
      <c r="G45" s="32"/>
      <c r="H45" s="19">
        <v>1880</v>
      </c>
      <c r="I45" s="20">
        <f t="shared" si="4"/>
        <v>-1880</v>
      </c>
      <c r="J45" s="20" t="s">
        <v>17</v>
      </c>
      <c r="K45" s="21">
        <v>40</v>
      </c>
      <c r="L45" s="21">
        <v>1</v>
      </c>
      <c r="M45" s="22">
        <f t="shared" si="1"/>
        <v>9.5409999999999986</v>
      </c>
      <c r="N45" s="23">
        <f t="shared" si="2"/>
        <v>18.8</v>
      </c>
      <c r="O45" s="23">
        <f t="shared" si="5"/>
        <v>69.340999999999994</v>
      </c>
      <c r="P45" s="24">
        <f t="shared" si="3"/>
        <v>1810.6590000000001</v>
      </c>
      <c r="Q45" s="25">
        <f t="shared" si="6"/>
        <v>1820.2</v>
      </c>
      <c r="R45" s="29">
        <v>2276.38</v>
      </c>
      <c r="S45" s="26">
        <f t="shared" si="10"/>
        <v>1493.2073956600002</v>
      </c>
      <c r="T45" s="27">
        <f t="shared" si="7"/>
        <v>-326.99260433999984</v>
      </c>
      <c r="U45" s="3"/>
    </row>
    <row r="46" spans="1:21" ht="21" x14ac:dyDescent="0.4">
      <c r="A46" s="4"/>
      <c r="B46" s="4"/>
      <c r="C46" s="9" t="s">
        <v>61</v>
      </c>
      <c r="D46" s="18" t="s">
        <v>79</v>
      </c>
      <c r="E46" s="19">
        <v>250</v>
      </c>
      <c r="F46" s="18" t="s">
        <v>100</v>
      </c>
      <c r="G46" s="32"/>
      <c r="H46" s="19">
        <v>1880</v>
      </c>
      <c r="I46" s="20">
        <f t="shared" si="4"/>
        <v>-1880</v>
      </c>
      <c r="J46" s="20" t="s">
        <v>17</v>
      </c>
      <c r="K46" s="21">
        <v>40</v>
      </c>
      <c r="L46" s="21">
        <v>1</v>
      </c>
      <c r="M46" s="22">
        <f t="shared" si="1"/>
        <v>9.5409999999999986</v>
      </c>
      <c r="N46" s="23">
        <f t="shared" si="2"/>
        <v>18.8</v>
      </c>
      <c r="O46" s="23">
        <f t="shared" si="5"/>
        <v>69.340999999999994</v>
      </c>
      <c r="P46" s="24">
        <f t="shared" si="3"/>
        <v>1810.6590000000001</v>
      </c>
      <c r="Q46" s="25">
        <f t="shared" si="6"/>
        <v>1820.2</v>
      </c>
      <c r="R46" s="29">
        <v>2308.08</v>
      </c>
      <c r="S46" s="26">
        <f t="shared" si="10"/>
        <v>1514.0012325600001</v>
      </c>
      <c r="T46" s="27">
        <f t="shared" si="7"/>
        <v>-306.19876743999998</v>
      </c>
      <c r="U46" s="3"/>
    </row>
    <row r="47" spans="1:21" ht="21" x14ac:dyDescent="0.4">
      <c r="A47" s="4"/>
      <c r="B47" s="4"/>
      <c r="C47" s="9" t="s">
        <v>61</v>
      </c>
      <c r="D47" s="18" t="s">
        <v>80</v>
      </c>
      <c r="E47" s="19">
        <v>250</v>
      </c>
      <c r="F47" s="18" t="s">
        <v>100</v>
      </c>
      <c r="G47" s="32"/>
      <c r="H47" s="19">
        <v>1880</v>
      </c>
      <c r="I47" s="20">
        <f t="shared" si="4"/>
        <v>-1880</v>
      </c>
      <c r="J47" s="20" t="s">
        <v>17</v>
      </c>
      <c r="K47" s="21">
        <v>40</v>
      </c>
      <c r="L47" s="21">
        <v>1</v>
      </c>
      <c r="M47" s="22">
        <f t="shared" si="1"/>
        <v>9.5409999999999986</v>
      </c>
      <c r="N47" s="23">
        <f t="shared" si="2"/>
        <v>18.8</v>
      </c>
      <c r="O47" s="23">
        <f t="shared" si="5"/>
        <v>69.340999999999994</v>
      </c>
      <c r="P47" s="24">
        <f t="shared" si="3"/>
        <v>1810.6590000000001</v>
      </c>
      <c r="Q47" s="25">
        <f t="shared" si="6"/>
        <v>1820.2</v>
      </c>
      <c r="R47" s="29">
        <v>2276.38</v>
      </c>
      <c r="S47" s="26">
        <f t="shared" si="10"/>
        <v>1493.2073956600002</v>
      </c>
      <c r="T47" s="27">
        <f t="shared" si="7"/>
        <v>-326.99260433999984</v>
      </c>
      <c r="U47" s="3"/>
    </row>
    <row r="48" spans="1:21" ht="21" x14ac:dyDescent="0.4">
      <c r="A48" s="4"/>
      <c r="B48" s="4"/>
      <c r="C48" s="9" t="s">
        <v>61</v>
      </c>
      <c r="D48" s="18" t="s">
        <v>81</v>
      </c>
      <c r="E48" s="19">
        <v>250</v>
      </c>
      <c r="F48" s="18" t="s">
        <v>100</v>
      </c>
      <c r="G48" s="32"/>
      <c r="H48" s="19">
        <v>1880</v>
      </c>
      <c r="I48" s="20">
        <f t="shared" si="4"/>
        <v>-1880</v>
      </c>
      <c r="J48" s="20" t="s">
        <v>17</v>
      </c>
      <c r="K48" s="21">
        <v>40</v>
      </c>
      <c r="L48" s="21">
        <v>1</v>
      </c>
      <c r="M48" s="22">
        <f t="shared" si="1"/>
        <v>9.5409999999999986</v>
      </c>
      <c r="N48" s="23">
        <f t="shared" si="2"/>
        <v>18.8</v>
      </c>
      <c r="O48" s="23">
        <f t="shared" si="5"/>
        <v>69.340999999999994</v>
      </c>
      <c r="P48" s="24">
        <f t="shared" si="3"/>
        <v>1810.6590000000001</v>
      </c>
      <c r="Q48" s="25">
        <f t="shared" si="6"/>
        <v>1820.2</v>
      </c>
      <c r="R48" s="29">
        <v>2308.08</v>
      </c>
      <c r="S48" s="26">
        <f t="shared" si="10"/>
        <v>1514.0012325600001</v>
      </c>
      <c r="T48" s="27">
        <f t="shared" si="7"/>
        <v>-306.19876743999998</v>
      </c>
      <c r="U48" s="3"/>
    </row>
    <row r="49" spans="1:21" ht="21" x14ac:dyDescent="0.4">
      <c r="A49" s="4"/>
      <c r="B49" s="4"/>
      <c r="C49" s="9" t="s">
        <v>61</v>
      </c>
      <c r="D49" s="18" t="s">
        <v>82</v>
      </c>
      <c r="E49" s="19">
        <v>250</v>
      </c>
      <c r="F49" s="18" t="s">
        <v>100</v>
      </c>
      <c r="G49" s="32"/>
      <c r="H49" s="19">
        <v>1880</v>
      </c>
      <c r="I49" s="20">
        <f t="shared" si="4"/>
        <v>-1880</v>
      </c>
      <c r="J49" s="20" t="s">
        <v>17</v>
      </c>
      <c r="K49" s="21">
        <v>40</v>
      </c>
      <c r="L49" s="21">
        <v>1</v>
      </c>
      <c r="M49" s="22">
        <f t="shared" si="1"/>
        <v>9.5409999999999986</v>
      </c>
      <c r="N49" s="23">
        <f t="shared" si="2"/>
        <v>18.8</v>
      </c>
      <c r="O49" s="23">
        <f t="shared" si="5"/>
        <v>69.340999999999994</v>
      </c>
      <c r="P49" s="24">
        <f t="shared" si="3"/>
        <v>1810.6590000000001</v>
      </c>
      <c r="Q49" s="25">
        <f t="shared" si="6"/>
        <v>1820.2</v>
      </c>
      <c r="R49" s="29">
        <v>2276.38</v>
      </c>
      <c r="S49" s="26">
        <f t="shared" si="10"/>
        <v>1493.2073956600002</v>
      </c>
      <c r="T49" s="27">
        <f t="shared" si="7"/>
        <v>-326.99260433999984</v>
      </c>
      <c r="U49" s="3"/>
    </row>
    <row r="50" spans="1:21" ht="21" x14ac:dyDescent="0.4">
      <c r="A50" s="4"/>
      <c r="B50" s="4"/>
      <c r="C50" s="9" t="s">
        <v>61</v>
      </c>
      <c r="D50" s="18" t="s">
        <v>87</v>
      </c>
      <c r="E50" s="19">
        <v>500</v>
      </c>
      <c r="F50" s="18" t="s">
        <v>100</v>
      </c>
      <c r="G50" s="32"/>
      <c r="H50" s="19">
        <v>1891</v>
      </c>
      <c r="I50" s="20">
        <f t="shared" si="4"/>
        <v>-1891</v>
      </c>
      <c r="J50" s="20" t="s">
        <v>17</v>
      </c>
      <c r="K50" s="21">
        <v>40</v>
      </c>
      <c r="L50" s="21">
        <v>1</v>
      </c>
      <c r="M50" s="22">
        <f t="shared" si="1"/>
        <v>9.5968249999999991</v>
      </c>
      <c r="N50" s="23">
        <f t="shared" si="2"/>
        <v>18.91</v>
      </c>
      <c r="O50" s="23">
        <f t="shared" si="5"/>
        <v>69.506824999999992</v>
      </c>
      <c r="P50" s="24">
        <f t="shared" si="3"/>
        <v>1821.4931750000001</v>
      </c>
      <c r="Q50" s="25">
        <f t="shared" si="6"/>
        <v>1831.0900000000001</v>
      </c>
      <c r="R50" s="29">
        <v>2308.08</v>
      </c>
      <c r="S50" s="26">
        <f t="shared" si="10"/>
        <v>1514.0012325600001</v>
      </c>
      <c r="T50" s="27">
        <f t="shared" si="7"/>
        <v>-317.08876744000008</v>
      </c>
      <c r="U50" s="3"/>
    </row>
    <row r="51" spans="1:21" ht="21" x14ac:dyDescent="0.4">
      <c r="A51" s="4"/>
      <c r="B51" s="4"/>
      <c r="C51" s="9" t="s">
        <v>61</v>
      </c>
      <c r="D51" s="18" t="s">
        <v>88</v>
      </c>
      <c r="E51" s="19">
        <v>500</v>
      </c>
      <c r="F51" s="18" t="s">
        <v>100</v>
      </c>
      <c r="G51" s="32"/>
      <c r="H51" s="19">
        <v>1891</v>
      </c>
      <c r="I51" s="20">
        <f t="shared" si="4"/>
        <v>-1891</v>
      </c>
      <c r="J51" s="20" t="s">
        <v>17</v>
      </c>
      <c r="K51" s="21">
        <v>40</v>
      </c>
      <c r="L51" s="21">
        <v>1</v>
      </c>
      <c r="M51" s="22">
        <f t="shared" si="1"/>
        <v>9.5968249999999991</v>
      </c>
      <c r="N51" s="23">
        <f t="shared" si="2"/>
        <v>18.91</v>
      </c>
      <c r="O51" s="23">
        <f t="shared" si="5"/>
        <v>69.506824999999992</v>
      </c>
      <c r="P51" s="24">
        <f t="shared" si="3"/>
        <v>1821.4931750000001</v>
      </c>
      <c r="Q51" s="25">
        <f t="shared" si="6"/>
        <v>1831.0900000000001</v>
      </c>
      <c r="R51" s="29">
        <v>2308.08</v>
      </c>
      <c r="S51" s="26">
        <f t="shared" si="10"/>
        <v>1514.0012325600001</v>
      </c>
      <c r="T51" s="27">
        <f t="shared" si="7"/>
        <v>-317.08876744000008</v>
      </c>
      <c r="U51" s="3"/>
    </row>
    <row r="52" spans="1:21" ht="21" x14ac:dyDescent="0.4">
      <c r="A52" s="4"/>
      <c r="B52" s="4"/>
      <c r="C52" s="9" t="s">
        <v>61</v>
      </c>
      <c r="D52" s="18" t="s">
        <v>95</v>
      </c>
      <c r="E52" s="19">
        <v>250</v>
      </c>
      <c r="F52" s="18" t="s">
        <v>100</v>
      </c>
      <c r="G52" s="32"/>
      <c r="H52" s="19">
        <v>1939</v>
      </c>
      <c r="I52" s="20">
        <f t="shared" si="4"/>
        <v>-1939</v>
      </c>
      <c r="J52" s="20" t="s">
        <v>17</v>
      </c>
      <c r="K52" s="21">
        <v>40</v>
      </c>
      <c r="L52" s="21">
        <v>1</v>
      </c>
      <c r="M52" s="22">
        <f t="shared" si="1"/>
        <v>9.8404249999999998</v>
      </c>
      <c r="N52" s="23">
        <f t="shared" si="2"/>
        <v>19.39</v>
      </c>
      <c r="O52" s="23">
        <f t="shared" si="5"/>
        <v>70.230424999999997</v>
      </c>
      <c r="P52" s="24">
        <f t="shared" si="3"/>
        <v>1868.769575</v>
      </c>
      <c r="Q52" s="25">
        <f t="shared" si="6"/>
        <v>1878.6100000000001</v>
      </c>
      <c r="R52" s="29">
        <v>6403</v>
      </c>
      <c r="S52" s="26">
        <f t="shared" si="10"/>
        <v>4200.0926710000003</v>
      </c>
      <c r="T52" s="27">
        <f t="shared" si="7"/>
        <v>2321.4826710000002</v>
      </c>
      <c r="U52" s="3"/>
    </row>
    <row r="53" spans="1:21" ht="21" x14ac:dyDescent="0.4">
      <c r="A53" s="4"/>
      <c r="B53" s="4"/>
      <c r="C53" s="9" t="s">
        <v>61</v>
      </c>
      <c r="D53" s="18" t="s">
        <v>96</v>
      </c>
      <c r="E53" s="19">
        <v>250</v>
      </c>
      <c r="F53" s="18" t="s">
        <v>100</v>
      </c>
      <c r="G53" s="32"/>
      <c r="H53" s="19">
        <v>1939</v>
      </c>
      <c r="I53" s="20">
        <f t="shared" si="4"/>
        <v>-1939</v>
      </c>
      <c r="J53" s="20" t="s">
        <v>17</v>
      </c>
      <c r="K53" s="21">
        <v>40</v>
      </c>
      <c r="L53" s="21">
        <v>1</v>
      </c>
      <c r="M53" s="22">
        <f t="shared" si="1"/>
        <v>9.8404249999999998</v>
      </c>
      <c r="N53" s="23">
        <f t="shared" si="2"/>
        <v>19.39</v>
      </c>
      <c r="O53" s="23">
        <f t="shared" si="5"/>
        <v>70.230424999999997</v>
      </c>
      <c r="P53" s="24">
        <f t="shared" si="3"/>
        <v>1868.769575</v>
      </c>
      <c r="Q53" s="25">
        <f t="shared" si="6"/>
        <v>1878.6100000000001</v>
      </c>
      <c r="R53" s="29">
        <v>6403</v>
      </c>
      <c r="S53" s="26">
        <f>R53*$B$2</f>
        <v>4200.0926710000003</v>
      </c>
      <c r="T53" s="27">
        <f t="shared" si="7"/>
        <v>2321.4826710000002</v>
      </c>
      <c r="U53" s="3"/>
    </row>
    <row r="54" spans="1:21" ht="21" x14ac:dyDescent="0.4">
      <c r="A54" s="4"/>
      <c r="B54" s="4"/>
      <c r="C54" s="9" t="s">
        <v>61</v>
      </c>
      <c r="D54" s="18" t="s">
        <v>97</v>
      </c>
      <c r="E54" s="19">
        <v>250</v>
      </c>
      <c r="F54" s="18" t="s">
        <v>100</v>
      </c>
      <c r="G54" s="32"/>
      <c r="H54" s="19">
        <v>1939</v>
      </c>
      <c r="I54" s="20">
        <f t="shared" si="4"/>
        <v>-1939</v>
      </c>
      <c r="J54" s="20" t="s">
        <v>17</v>
      </c>
      <c r="K54" s="21">
        <v>40</v>
      </c>
      <c r="L54" s="21">
        <v>1</v>
      </c>
      <c r="M54" s="22">
        <f t="shared" si="1"/>
        <v>9.8404249999999998</v>
      </c>
      <c r="N54" s="23">
        <f t="shared" si="2"/>
        <v>19.39</v>
      </c>
      <c r="O54" s="23">
        <f t="shared" si="5"/>
        <v>70.230424999999997</v>
      </c>
      <c r="P54" s="24">
        <f t="shared" si="3"/>
        <v>1868.769575</v>
      </c>
      <c r="Q54" s="25">
        <f t="shared" si="6"/>
        <v>1878.6100000000001</v>
      </c>
      <c r="R54" s="29">
        <v>6403</v>
      </c>
      <c r="S54" s="26">
        <f>R54*$B$2</f>
        <v>4200.0926710000003</v>
      </c>
      <c r="T54" s="27">
        <f t="shared" si="7"/>
        <v>2321.4826710000002</v>
      </c>
      <c r="U54" s="3"/>
    </row>
    <row r="55" spans="1:21" ht="21" x14ac:dyDescent="0.4">
      <c r="A55" s="4"/>
      <c r="B55" s="4"/>
      <c r="C55" s="9" t="s">
        <v>61</v>
      </c>
      <c r="D55" s="18" t="s">
        <v>98</v>
      </c>
      <c r="E55" s="19">
        <v>250</v>
      </c>
      <c r="F55" s="18" t="s">
        <v>100</v>
      </c>
      <c r="G55" s="32"/>
      <c r="H55" s="19">
        <v>1939</v>
      </c>
      <c r="I55" s="20">
        <f t="shared" si="4"/>
        <v>-1939</v>
      </c>
      <c r="J55" s="20" t="s">
        <v>17</v>
      </c>
      <c r="K55" s="21">
        <v>40</v>
      </c>
      <c r="L55" s="21">
        <v>1</v>
      </c>
      <c r="M55" s="22">
        <f t="shared" si="1"/>
        <v>9.8404249999999998</v>
      </c>
      <c r="N55" s="23">
        <f t="shared" si="2"/>
        <v>19.39</v>
      </c>
      <c r="O55" s="23">
        <f t="shared" si="5"/>
        <v>70.230424999999997</v>
      </c>
      <c r="P55" s="24">
        <f t="shared" si="3"/>
        <v>1868.769575</v>
      </c>
      <c r="Q55" s="25">
        <f t="shared" si="6"/>
        <v>1878.6100000000001</v>
      </c>
      <c r="R55" s="29">
        <v>6403</v>
      </c>
      <c r="S55" s="26">
        <f t="shared" ref="S55" si="11">R55*$B$2</f>
        <v>4200.0926710000003</v>
      </c>
      <c r="T55" s="27">
        <f t="shared" si="7"/>
        <v>2321.4826710000002</v>
      </c>
      <c r="U55" s="3"/>
    </row>
    <row r="56" spans="1:21" ht="21" hidden="1" x14ac:dyDescent="0.4">
      <c r="A56" s="4"/>
      <c r="B56" s="4"/>
      <c r="C56" s="9" t="s">
        <v>26</v>
      </c>
      <c r="D56" s="18" t="s">
        <v>28</v>
      </c>
      <c r="E56" s="19">
        <v>250</v>
      </c>
      <c r="F56" s="18" t="s">
        <v>27</v>
      </c>
      <c r="G56" s="19">
        <v>4149.7510000000002</v>
      </c>
      <c r="H56" s="19">
        <v>4100</v>
      </c>
      <c r="I56" s="20">
        <f t="shared" si="4"/>
        <v>49.751000000000204</v>
      </c>
      <c r="J56" s="20" t="s">
        <v>36</v>
      </c>
      <c r="K56" s="21">
        <v>40</v>
      </c>
      <c r="L56" s="21">
        <v>1</v>
      </c>
      <c r="M56" s="22">
        <f t="shared" si="1"/>
        <v>20.807499999999997</v>
      </c>
      <c r="N56" s="23">
        <f t="shared" si="2"/>
        <v>41</v>
      </c>
      <c r="O56" s="23">
        <f t="shared" si="5"/>
        <v>102.8075</v>
      </c>
      <c r="P56" s="24">
        <f t="shared" si="3"/>
        <v>3997.1925000000001</v>
      </c>
      <c r="Q56" s="25">
        <f t="shared" si="6"/>
        <v>4018</v>
      </c>
      <c r="R56" s="29">
        <v>2177.4</v>
      </c>
      <c r="S56" s="26">
        <f>R56*$B$2</f>
        <v>1428.2807718000001</v>
      </c>
      <c r="T56" s="27">
        <f t="shared" si="7"/>
        <v>-2589.7192281999996</v>
      </c>
      <c r="U56" s="3"/>
    </row>
    <row r="57" spans="1:21" ht="21" hidden="1" x14ac:dyDescent="0.4">
      <c r="A57" s="4"/>
      <c r="B57" s="4"/>
      <c r="C57" s="9" t="s">
        <v>26</v>
      </c>
      <c r="D57" s="18" t="s">
        <v>29</v>
      </c>
      <c r="E57" s="19">
        <v>250</v>
      </c>
      <c r="F57" s="18" t="s">
        <v>27</v>
      </c>
      <c r="G57" s="19">
        <v>4149.7510000000002</v>
      </c>
      <c r="H57" s="19">
        <v>4100</v>
      </c>
      <c r="I57" s="20">
        <f t="shared" si="4"/>
        <v>49.751000000000204</v>
      </c>
      <c r="J57" s="20" t="s">
        <v>36</v>
      </c>
      <c r="K57" s="21">
        <v>40</v>
      </c>
      <c r="L57" s="21">
        <v>1</v>
      </c>
      <c r="M57" s="22">
        <f t="shared" si="1"/>
        <v>20.807499999999997</v>
      </c>
      <c r="N57" s="23">
        <f t="shared" si="2"/>
        <v>41</v>
      </c>
      <c r="O57" s="23">
        <f t="shared" si="5"/>
        <v>102.8075</v>
      </c>
      <c r="P57" s="24">
        <f t="shared" si="3"/>
        <v>3997.1925000000001</v>
      </c>
      <c r="Q57" s="25">
        <f t="shared" si="6"/>
        <v>4018</v>
      </c>
      <c r="R57" s="29">
        <v>2178.4</v>
      </c>
      <c r="S57" s="26">
        <f t="shared" ref="S57:S63" si="12">R57*$B$2</f>
        <v>1428.9367288000001</v>
      </c>
      <c r="T57" s="27">
        <f t="shared" si="7"/>
        <v>-2589.0632711999997</v>
      </c>
      <c r="U57" s="3"/>
    </row>
    <row r="58" spans="1:21" ht="21" hidden="1" x14ac:dyDescent="0.4">
      <c r="A58" s="4"/>
      <c r="B58" s="4"/>
      <c r="C58" s="9" t="s">
        <v>26</v>
      </c>
      <c r="D58" s="18" t="s">
        <v>30</v>
      </c>
      <c r="E58" s="19">
        <v>250</v>
      </c>
      <c r="F58" s="18" t="s">
        <v>27</v>
      </c>
      <c r="G58" s="19">
        <v>4149.7510000000002</v>
      </c>
      <c r="H58" s="19">
        <v>4100</v>
      </c>
      <c r="I58" s="20">
        <f t="shared" si="4"/>
        <v>49.751000000000204</v>
      </c>
      <c r="J58" s="20" t="s">
        <v>36</v>
      </c>
      <c r="K58" s="21">
        <v>40</v>
      </c>
      <c r="L58" s="21">
        <v>1</v>
      </c>
      <c r="M58" s="22">
        <f t="shared" si="1"/>
        <v>20.807499999999997</v>
      </c>
      <c r="N58" s="23">
        <f t="shared" si="2"/>
        <v>41</v>
      </c>
      <c r="O58" s="23">
        <f t="shared" si="5"/>
        <v>102.8075</v>
      </c>
      <c r="P58" s="24">
        <f t="shared" si="3"/>
        <v>3997.1925000000001</v>
      </c>
      <c r="Q58" s="25">
        <f t="shared" si="6"/>
        <v>4018</v>
      </c>
      <c r="R58" s="29">
        <v>2179.4</v>
      </c>
      <c r="S58" s="26">
        <f t="shared" si="12"/>
        <v>1429.5926858</v>
      </c>
      <c r="T58" s="27">
        <f t="shared" si="7"/>
        <v>-2588.4073141999997</v>
      </c>
      <c r="U58" s="3"/>
    </row>
    <row r="59" spans="1:21" ht="21" hidden="1" x14ac:dyDescent="0.4">
      <c r="A59" s="4"/>
      <c r="B59" s="4"/>
      <c r="C59" s="9" t="s">
        <v>26</v>
      </c>
      <c r="D59" s="18" t="s">
        <v>31</v>
      </c>
      <c r="E59" s="19">
        <v>250</v>
      </c>
      <c r="F59" s="18" t="s">
        <v>27</v>
      </c>
      <c r="G59" s="19">
        <v>4149.7510000000002</v>
      </c>
      <c r="H59" s="19">
        <v>4100</v>
      </c>
      <c r="I59" s="20">
        <f t="shared" si="4"/>
        <v>49.751000000000204</v>
      </c>
      <c r="J59" s="20" t="s">
        <v>36</v>
      </c>
      <c r="K59" s="21">
        <v>40</v>
      </c>
      <c r="L59" s="21">
        <v>1</v>
      </c>
      <c r="M59" s="22">
        <f t="shared" si="1"/>
        <v>20.807499999999997</v>
      </c>
      <c r="N59" s="23">
        <f t="shared" si="2"/>
        <v>41</v>
      </c>
      <c r="O59" s="23">
        <f t="shared" si="5"/>
        <v>102.8075</v>
      </c>
      <c r="P59" s="24">
        <f t="shared" si="3"/>
        <v>3997.1925000000001</v>
      </c>
      <c r="Q59" s="25">
        <f t="shared" si="6"/>
        <v>4018</v>
      </c>
      <c r="R59" s="29">
        <v>2180.4</v>
      </c>
      <c r="S59" s="26">
        <f t="shared" si="12"/>
        <v>1430.2486428000002</v>
      </c>
      <c r="T59" s="27">
        <f t="shared" si="7"/>
        <v>-2587.7513571999998</v>
      </c>
      <c r="U59" s="3"/>
    </row>
    <row r="60" spans="1:21" ht="21" hidden="1" x14ac:dyDescent="0.4">
      <c r="A60" s="4"/>
      <c r="B60" s="4"/>
      <c r="C60" s="9" t="s">
        <v>18</v>
      </c>
      <c r="D60" s="18" t="s">
        <v>32</v>
      </c>
      <c r="E60" s="19">
        <v>250</v>
      </c>
      <c r="F60" s="18" t="s">
        <v>27</v>
      </c>
      <c r="G60" s="19">
        <v>4149.7510000000002</v>
      </c>
      <c r="H60" s="19">
        <v>4100</v>
      </c>
      <c r="I60" s="20">
        <f t="shared" si="4"/>
        <v>49.751000000000204</v>
      </c>
      <c r="J60" s="20" t="s">
        <v>36</v>
      </c>
      <c r="K60" s="21">
        <v>40</v>
      </c>
      <c r="L60" s="21">
        <v>1</v>
      </c>
      <c r="M60" s="22">
        <f t="shared" si="1"/>
        <v>20.807499999999997</v>
      </c>
      <c r="N60" s="23">
        <f t="shared" si="2"/>
        <v>41</v>
      </c>
      <c r="O60" s="23">
        <f t="shared" si="5"/>
        <v>102.8075</v>
      </c>
      <c r="P60" s="24">
        <f t="shared" si="3"/>
        <v>3997.1925000000001</v>
      </c>
      <c r="Q60" s="25">
        <f t="shared" si="6"/>
        <v>4018</v>
      </c>
      <c r="R60" s="29">
        <v>2181.4</v>
      </c>
      <c r="S60" s="26">
        <f t="shared" si="12"/>
        <v>1430.9045998000001</v>
      </c>
      <c r="T60" s="27">
        <f t="shared" si="7"/>
        <v>-2587.0954001999999</v>
      </c>
      <c r="U60" s="3"/>
    </row>
    <row r="61" spans="1:21" ht="21" hidden="1" x14ac:dyDescent="0.4">
      <c r="A61" s="4"/>
      <c r="B61" s="4"/>
      <c r="C61" s="9" t="s">
        <v>18</v>
      </c>
      <c r="D61" s="18" t="s">
        <v>33</v>
      </c>
      <c r="E61" s="19">
        <v>250</v>
      </c>
      <c r="F61" s="18" t="s">
        <v>27</v>
      </c>
      <c r="G61" s="19">
        <v>4149.7510000000002</v>
      </c>
      <c r="H61" s="19">
        <v>4100</v>
      </c>
      <c r="I61" s="20">
        <f t="shared" si="4"/>
        <v>49.751000000000204</v>
      </c>
      <c r="J61" s="20" t="s">
        <v>36</v>
      </c>
      <c r="K61" s="21">
        <v>40</v>
      </c>
      <c r="L61" s="21">
        <v>1</v>
      </c>
      <c r="M61" s="22">
        <f t="shared" si="1"/>
        <v>20.807499999999997</v>
      </c>
      <c r="N61" s="23">
        <f t="shared" si="2"/>
        <v>41</v>
      </c>
      <c r="O61" s="23">
        <f t="shared" si="5"/>
        <v>102.8075</v>
      </c>
      <c r="P61" s="24">
        <f t="shared" si="3"/>
        <v>3997.1925000000001</v>
      </c>
      <c r="Q61" s="25">
        <f t="shared" si="6"/>
        <v>4018</v>
      </c>
      <c r="R61" s="29">
        <v>2182.4</v>
      </c>
      <c r="S61" s="26">
        <f t="shared" si="12"/>
        <v>1431.5605568000001</v>
      </c>
      <c r="T61" s="27">
        <f t="shared" si="7"/>
        <v>-2586.4394431999999</v>
      </c>
      <c r="U61" s="3"/>
    </row>
    <row r="62" spans="1:21" ht="21" hidden="1" x14ac:dyDescent="0.4">
      <c r="A62" s="4"/>
      <c r="B62" s="4"/>
      <c r="C62" s="9" t="s">
        <v>18</v>
      </c>
      <c r="D62" s="18" t="s">
        <v>34</v>
      </c>
      <c r="E62" s="19">
        <v>250</v>
      </c>
      <c r="F62" s="18" t="s">
        <v>27</v>
      </c>
      <c r="G62" s="19">
        <v>4149.7510000000002</v>
      </c>
      <c r="H62" s="19">
        <v>4100</v>
      </c>
      <c r="I62" s="20">
        <f t="shared" si="4"/>
        <v>49.751000000000204</v>
      </c>
      <c r="J62" s="20" t="s">
        <v>36</v>
      </c>
      <c r="K62" s="21">
        <v>40</v>
      </c>
      <c r="L62" s="21">
        <v>1</v>
      </c>
      <c r="M62" s="22">
        <f t="shared" si="1"/>
        <v>20.807499999999997</v>
      </c>
      <c r="N62" s="23">
        <f t="shared" si="2"/>
        <v>41</v>
      </c>
      <c r="O62" s="23">
        <f t="shared" si="5"/>
        <v>102.8075</v>
      </c>
      <c r="P62" s="24">
        <f t="shared" si="3"/>
        <v>3997.1925000000001</v>
      </c>
      <c r="Q62" s="25">
        <f t="shared" si="6"/>
        <v>4018</v>
      </c>
      <c r="R62" s="29">
        <v>2183.4</v>
      </c>
      <c r="S62" s="26">
        <f t="shared" si="12"/>
        <v>1432.2165138</v>
      </c>
      <c r="T62" s="27">
        <f t="shared" si="7"/>
        <v>-2585.7834862</v>
      </c>
      <c r="U62" s="3"/>
    </row>
    <row r="63" spans="1:21" ht="21" hidden="1" x14ac:dyDescent="0.4">
      <c r="A63" s="4"/>
      <c r="B63" s="4"/>
      <c r="C63" s="9" t="s">
        <v>18</v>
      </c>
      <c r="D63" s="18" t="s">
        <v>35</v>
      </c>
      <c r="E63" s="19">
        <v>250</v>
      </c>
      <c r="F63" s="18" t="s">
        <v>27</v>
      </c>
      <c r="G63" s="19">
        <v>4149.7510000000002</v>
      </c>
      <c r="H63" s="19">
        <v>4100</v>
      </c>
      <c r="I63" s="20">
        <f t="shared" si="4"/>
        <v>49.751000000000204</v>
      </c>
      <c r="J63" s="20" t="s">
        <v>36</v>
      </c>
      <c r="K63" s="21">
        <v>40</v>
      </c>
      <c r="L63" s="21">
        <v>1</v>
      </c>
      <c r="M63" s="22">
        <f t="shared" si="1"/>
        <v>20.807499999999997</v>
      </c>
      <c r="N63" s="23">
        <f t="shared" si="2"/>
        <v>41</v>
      </c>
      <c r="O63" s="23">
        <f t="shared" si="5"/>
        <v>102.8075</v>
      </c>
      <c r="P63" s="24">
        <f t="shared" si="3"/>
        <v>3997.1925000000001</v>
      </c>
      <c r="Q63" s="25">
        <f t="shared" si="6"/>
        <v>4018</v>
      </c>
      <c r="R63" s="29">
        <v>2184.4</v>
      </c>
      <c r="S63" s="26">
        <f t="shared" si="12"/>
        <v>1432.8724708</v>
      </c>
      <c r="T63" s="27">
        <f t="shared" si="7"/>
        <v>-2585.1275292</v>
      </c>
      <c r="U63" s="3"/>
    </row>
  </sheetData>
  <autoFilter ref="C6:T63" xr:uid="{E179F907-649A-4280-A12C-BA216DEBC8D0}">
    <filterColumn colId="0">
      <filters>
        <filter val="STARLINK"/>
        <filter val="STARLINK GLOBAL"/>
      </filters>
    </filterColumn>
    <filterColumn colId="6" showButton="0"/>
  </autoFilter>
  <mergeCells count="1">
    <mergeCell ref="I6:J6"/>
  </mergeCells>
  <pageMargins left="0.7" right="0.7" top="0.75" bottom="0.75" header="0.3" footer="0.3"/>
  <pageSetup paperSize="9" scale="3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4</vt:i4>
      </vt:variant>
    </vt:vector>
  </HeadingPairs>
  <TitlesOfParts>
    <vt:vector size="8" baseType="lpstr">
      <vt:lpstr>Récap</vt:lpstr>
      <vt:lpstr>ETAT CV 26-27</vt:lpstr>
      <vt:lpstr>BASE</vt:lpstr>
      <vt:lpstr>Récap (3)</vt:lpstr>
      <vt:lpstr>BASE!Zone_d_impression</vt:lpstr>
      <vt:lpstr>'ETAT CV 26-27'!Zone_d_impression</vt:lpstr>
      <vt:lpstr>Récap!Zone_d_impression</vt:lpstr>
      <vt:lpstr>'Récap (3)'!Zone_d_impression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 Amouzoun | Ecorigine</dc:creator>
  <cp:lastModifiedBy>Nabi.Ouague | Ecorigine</cp:lastModifiedBy>
  <dcterms:created xsi:type="dcterms:W3CDTF">2025-10-02T10:49:43Z</dcterms:created>
  <dcterms:modified xsi:type="dcterms:W3CDTF">2026-10-23T11:40:31Z</dcterms:modified>
</cp:coreProperties>
</file>