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rigine-my.sharepoint.com/personal/serge_amouzoun_ecorigine_ci/Documents/Documents/CAMPAGNE 26-27/PREFINANCEMENT/FICHE FINANCEMENT/"/>
    </mc:Choice>
  </mc:AlternateContent>
  <xr:revisionPtr revIDLastSave="312" documentId="13_ncr:1_{15B77992-6BBF-4295-A9EC-D18E4621ECE9}" xr6:coauthVersionLast="47" xr6:coauthVersionMax="47" xr10:uidLastSave="{2AE92516-9EF1-4E6C-8E10-3E7D7CBF578A}"/>
  <bookViews>
    <workbookView xWindow="-108" yWindow="-108" windowWidth="23256" windowHeight="12456" xr2:uid="{6DE5FDA6-BE13-4DC0-935A-C76950363D03}"/>
  </bookViews>
  <sheets>
    <sheet name="SCAN N°1-CAMP-2627" sheetId="10" r:id="rId1"/>
    <sheet name="COOPRABLOS N°1-CAMP-2627" sheetId="11" r:id="rId2"/>
  </sheets>
  <definedNames>
    <definedName name="_xlnm.Print_Area" localSheetId="1">'COOPRABLOS N°1-CAMP-2627'!$A$1:$G$37</definedName>
    <definedName name="_xlnm.Print_Area" localSheetId="0">'SCAN N°1-CAMP-2627'!$A$1:$G$38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1" l="1"/>
  <c r="F26" i="11" s="1"/>
  <c r="C29" i="11" s="1"/>
  <c r="C20" i="11"/>
  <c r="F8" i="11"/>
  <c r="E3" i="11"/>
  <c r="E2" i="11"/>
  <c r="F26" i="10"/>
  <c r="F27" i="10"/>
  <c r="C30" i="10" s="1"/>
  <c r="C21" i="10"/>
  <c r="F9" i="10"/>
  <c r="E4" i="10"/>
  <c r="E3" i="10"/>
</calcChain>
</file>

<file path=xl/sharedStrings.xml><?xml version="1.0" encoding="utf-8"?>
<sst xmlns="http://schemas.openxmlformats.org/spreadsheetml/2006/main" count="102" uniqueCount="55">
  <si>
    <t>ECORIGINE SA</t>
  </si>
  <si>
    <t>TEL:+ 225 27 24 3 07070</t>
  </si>
  <si>
    <t>FICHE DE FINANCEMENT DES ACHATS</t>
  </si>
  <si>
    <t>(S.A avec Administrateur Général)</t>
  </si>
  <si>
    <t>FOURNISSEUR</t>
  </si>
  <si>
    <t>FINANCEMENT</t>
  </si>
  <si>
    <t>N°</t>
  </si>
  <si>
    <t>Date</t>
  </si>
  <si>
    <t>CLAUSES</t>
  </si>
  <si>
    <t>REPARTITION DU FINANCEMENT</t>
  </si>
  <si>
    <t>TERME(PERIODE)</t>
  </si>
  <si>
    <t>MODE DE REMBOURSEMENT</t>
  </si>
  <si>
    <t>Code :</t>
  </si>
  <si>
    <t>Raison Sociale :</t>
  </si>
  <si>
    <t>Adresse:</t>
  </si>
  <si>
    <t>Avance Revolving :</t>
  </si>
  <si>
    <t>Avance Ponctuelle / Mandat</t>
  </si>
  <si>
    <t>Autre Avance :</t>
  </si>
  <si>
    <t>MODALITES DE PAIEMENT</t>
  </si>
  <si>
    <t>TYPE DE FINANCEMENT</t>
  </si>
  <si>
    <t>DATE</t>
  </si>
  <si>
    <t>MONTANT</t>
  </si>
  <si>
    <t>LIBELLE</t>
  </si>
  <si>
    <t>TOTAL</t>
  </si>
  <si>
    <t>RECAPITULATIF</t>
  </si>
  <si>
    <t>BANQUE</t>
  </si>
  <si>
    <t>CHEQUE / VIREMENT</t>
  </si>
  <si>
    <t>Pour le compte de :</t>
  </si>
  <si>
    <t>Et pour un montant de :</t>
  </si>
  <si>
    <t>Soit (en lettres) :</t>
  </si>
  <si>
    <t>Ce montant sera récupéré</t>
  </si>
  <si>
    <t>sur le montant intégral des chargements à venir</t>
  </si>
  <si>
    <t>Type de cacao</t>
  </si>
  <si>
    <t>Revolving</t>
  </si>
  <si>
    <t>OD</t>
  </si>
  <si>
    <t>Valeur total du poids net livré</t>
  </si>
  <si>
    <t>Bénéficiaire</t>
  </si>
  <si>
    <t>Administrateur Général</t>
  </si>
  <si>
    <t>SC130296</t>
  </si>
  <si>
    <t>SCOOPS SCAN</t>
  </si>
  <si>
    <t>BOUAFLE</t>
  </si>
  <si>
    <t>CONVENTIONNEL</t>
  </si>
  <si>
    <t>NANSI KOUADIO ETIENNE</t>
  </si>
  <si>
    <t>ECOBANK</t>
  </si>
  <si>
    <t>Vingt millions de francs CFA</t>
  </si>
  <si>
    <t>FN/SCAN/2627</t>
  </si>
  <si>
    <t>CHEQUE N°</t>
  </si>
  <si>
    <t>SCOOPS COOPRABLOS</t>
  </si>
  <si>
    <t>RA</t>
  </si>
  <si>
    <t>FN/COOPRABLOS/2627</t>
  </si>
  <si>
    <t>M'NAN ABO JULES</t>
  </si>
  <si>
    <t>SC082115</t>
  </si>
  <si>
    <t>BLOLEQUIN</t>
  </si>
  <si>
    <t>BICICI</t>
  </si>
  <si>
    <t>CHEQUE N°5279590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</si>
</sst>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indexed="64"/>
      </top>
      <bottom/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indexed="64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 style="thin">
        <color indexed="64"/>
      </left>
      <right style="thin">
        <color theme="9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/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/>
      <top/>
      <bottom/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  <border>
      <left/>
      <right/>
      <top/>
      <bottom style="thin">
        <color theme="9" tint="-0.249977111117893"/>
      </bottom>
      <diagonal/>
    </border>
    <border>
      <left/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thin">
        <color indexed="64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indexed="64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/>
      <top style="thin">
        <color theme="9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7">
    <xf numFmtId="0" fontId="0" fillId="0" borderId="0" xfId="0"/>
    <xf numFmtId="0" fontId="1" fillId="2" borderId="2" xfId="0" applyFont="1" applyFill="1" applyBorder="1"/>
    <xf numFmtId="0" fontId="0" fillId="0" borderId="3" xfId="0" applyBorder="1"/>
    <xf numFmtId="0" fontId="1" fillId="2" borderId="6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7" xfId="0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2" fillId="2" borderId="9" xfId="0" applyFont="1" applyFill="1" applyBorder="1" applyAlignment="1">
      <alignment horizontal="center"/>
    </xf>
    <xf numFmtId="0" fontId="2" fillId="2" borderId="16" xfId="0" applyFont="1" applyFill="1" applyBorder="1"/>
    <xf numFmtId="0" fontId="2" fillId="2" borderId="7" xfId="0" applyFont="1" applyFill="1" applyBorder="1"/>
    <xf numFmtId="0" fontId="2" fillId="2" borderId="9" xfId="0" applyFont="1" applyFill="1" applyBorder="1"/>
    <xf numFmtId="0" fontId="0" fillId="0" borderId="19" xfId="0" applyBorder="1"/>
    <xf numFmtId="0" fontId="2" fillId="2" borderId="18" xfId="0" applyFont="1" applyFill="1" applyBorder="1"/>
    <xf numFmtId="0" fontId="0" fillId="2" borderId="16" xfId="0" applyFill="1" applyBorder="1"/>
    <xf numFmtId="0" fontId="0" fillId="2" borderId="17" xfId="0" applyFill="1" applyBorder="1"/>
    <xf numFmtId="14" fontId="0" fillId="0" borderId="19" xfId="0" applyNumberFormat="1" applyBorder="1"/>
    <xf numFmtId="164" fontId="0" fillId="0" borderId="19" xfId="1" applyNumberFormat="1" applyFont="1" applyBorder="1"/>
    <xf numFmtId="0" fontId="1" fillId="2" borderId="6" xfId="0" applyFont="1" applyFill="1" applyBorder="1" applyAlignment="1">
      <alignment horizontal="center"/>
    </xf>
    <xf numFmtId="0" fontId="0" fillId="0" borderId="24" xfId="0" applyBorder="1"/>
    <xf numFmtId="164" fontId="0" fillId="2" borderId="9" xfId="1" applyNumberFormat="1" applyFont="1" applyFill="1" applyBorder="1"/>
    <xf numFmtId="3" fontId="0" fillId="0" borderId="13" xfId="1" applyNumberFormat="1" applyFont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3" borderId="13" xfId="0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3" xfId="0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B45A-1F65-47DF-873E-969A5AA19CBE}">
  <dimension ref="B3:F38"/>
  <sheetViews>
    <sheetView showGridLines="0" tabSelected="1" topLeftCell="A7" zoomScaleNormal="100" workbookViewId="0">
      <selection activeCell="D27" sqref="D27"/>
    </sheetView>
  </sheetViews>
  <sheetFormatPr baseColWidth="10" defaultRowHeight="14.4" x14ac:dyDescent="0.3"/>
  <cols>
    <col min="2" max="2" width="30.6640625" customWidth="1"/>
    <col min="3" max="3" width="11" customWidth="1"/>
    <col min="4" max="4" width="39.6640625" customWidth="1"/>
    <col min="5" max="5" width="14.5546875" customWidth="1"/>
    <col min="6" max="6" width="14.5546875" bestFit="1" customWidth="1"/>
  </cols>
  <sheetData>
    <row r="3" spans="2:6" x14ac:dyDescent="0.3">
      <c r="B3" s="8" t="s">
        <v>0</v>
      </c>
      <c r="C3" s="7"/>
      <c r="D3" s="1" t="s">
        <v>0</v>
      </c>
      <c r="E3" s="53">
        <f ca="1">TODAY()</f>
        <v>46303</v>
      </c>
      <c r="F3" s="53"/>
    </row>
    <row r="4" spans="2:6" x14ac:dyDescent="0.3">
      <c r="B4" s="9" t="s">
        <v>1</v>
      </c>
      <c r="C4" s="6"/>
      <c r="D4" s="4" t="s">
        <v>3</v>
      </c>
      <c r="E4" s="54" t="str">
        <f ca="1">TEXT(NOW(),"HH:MM")</f>
        <v>09:53</v>
      </c>
      <c r="F4" s="54"/>
    </row>
    <row r="5" spans="2:6" x14ac:dyDescent="0.3">
      <c r="B5" s="9"/>
      <c r="C5" s="6"/>
      <c r="D5" s="5" t="s">
        <v>2</v>
      </c>
      <c r="E5" s="54"/>
      <c r="F5" s="54"/>
    </row>
    <row r="7" spans="2:6" x14ac:dyDescent="0.3">
      <c r="B7" s="31" t="s">
        <v>4</v>
      </c>
      <c r="C7" s="32"/>
      <c r="D7" s="33"/>
      <c r="E7" s="31" t="s">
        <v>5</v>
      </c>
      <c r="F7" s="33"/>
    </row>
    <row r="8" spans="2:6" x14ac:dyDescent="0.3">
      <c r="B8" s="10" t="s">
        <v>12</v>
      </c>
      <c r="C8" t="s">
        <v>38</v>
      </c>
      <c r="D8" s="2"/>
      <c r="E8" s="25" t="s">
        <v>6</v>
      </c>
      <c r="F8" s="3" t="s">
        <v>7</v>
      </c>
    </row>
    <row r="9" spans="2:6" x14ac:dyDescent="0.3">
      <c r="B9" s="10" t="s">
        <v>13</v>
      </c>
      <c r="C9" t="s">
        <v>39</v>
      </c>
      <c r="D9" s="2"/>
      <c r="E9" s="55" t="s">
        <v>45</v>
      </c>
      <c r="F9" s="52">
        <f ca="1">+TODAY()</f>
        <v>46303</v>
      </c>
    </row>
    <row r="10" spans="2:6" x14ac:dyDescent="0.3">
      <c r="B10" s="10" t="s">
        <v>14</v>
      </c>
      <c r="C10" t="s">
        <v>40</v>
      </c>
      <c r="D10" s="2"/>
      <c r="E10" s="43"/>
      <c r="F10" s="43"/>
    </row>
    <row r="11" spans="2:6" x14ac:dyDescent="0.3">
      <c r="B11" s="11" t="s">
        <v>32</v>
      </c>
      <c r="C11" s="12" t="s">
        <v>41</v>
      </c>
      <c r="D11" s="14"/>
      <c r="E11" s="44"/>
      <c r="F11" s="44"/>
    </row>
    <row r="13" spans="2:6" x14ac:dyDescent="0.3">
      <c r="B13" s="36" t="s">
        <v>8</v>
      </c>
      <c r="C13" s="37"/>
      <c r="D13" s="37"/>
      <c r="E13" s="37"/>
      <c r="F13" s="38"/>
    </row>
    <row r="14" spans="2:6" x14ac:dyDescent="0.3">
      <c r="B14" s="40" t="s">
        <v>9</v>
      </c>
      <c r="C14" s="41"/>
      <c r="D14" s="15" t="s">
        <v>10</v>
      </c>
      <c r="E14" s="42" t="s">
        <v>11</v>
      </c>
      <c r="F14" s="41"/>
    </row>
    <row r="15" spans="2:6" x14ac:dyDescent="0.3">
      <c r="B15" s="10" t="s">
        <v>15</v>
      </c>
      <c r="C15" s="2"/>
      <c r="D15" s="43" t="s">
        <v>34</v>
      </c>
      <c r="E15" s="45" t="s">
        <v>35</v>
      </c>
      <c r="F15" s="46"/>
    </row>
    <row r="16" spans="2:6" x14ac:dyDescent="0.3">
      <c r="B16" s="10" t="s">
        <v>16</v>
      </c>
      <c r="C16" s="2"/>
      <c r="D16" s="43"/>
      <c r="E16" s="45"/>
      <c r="F16" s="46"/>
    </row>
    <row r="17" spans="2:6" x14ac:dyDescent="0.3">
      <c r="B17" s="11" t="s">
        <v>17</v>
      </c>
      <c r="C17" s="14"/>
      <c r="D17" s="44"/>
      <c r="E17" s="47"/>
      <c r="F17" s="48"/>
    </row>
    <row r="19" spans="2:6" x14ac:dyDescent="0.3">
      <c r="B19" s="36" t="s">
        <v>18</v>
      </c>
      <c r="C19" s="37"/>
      <c r="D19" s="37"/>
      <c r="E19" s="37"/>
      <c r="F19" s="38"/>
    </row>
    <row r="20" spans="2:6" x14ac:dyDescent="0.3">
      <c r="B20" s="18" t="s">
        <v>19</v>
      </c>
      <c r="C20" s="18" t="s">
        <v>20</v>
      </c>
      <c r="D20" s="15" t="s">
        <v>21</v>
      </c>
      <c r="E20" s="34" t="s">
        <v>22</v>
      </c>
      <c r="F20" s="35"/>
    </row>
    <row r="21" spans="2:6" x14ac:dyDescent="0.3">
      <c r="B21" s="19" t="s">
        <v>33</v>
      </c>
      <c r="C21" s="23">
        <f ca="1">TODAY()</f>
        <v>46303</v>
      </c>
      <c r="D21" s="28">
        <v>20000000</v>
      </c>
      <c r="E21" s="26" t="s">
        <v>42</v>
      </c>
      <c r="F21" s="5"/>
    </row>
    <row r="22" spans="2:6" x14ac:dyDescent="0.3">
      <c r="B22" s="16" t="s">
        <v>23</v>
      </c>
      <c r="C22" s="17"/>
      <c r="D22" s="17"/>
      <c r="E22" s="17"/>
      <c r="F22" s="17"/>
    </row>
    <row r="24" spans="2:6" x14ac:dyDescent="0.3">
      <c r="B24" s="36" t="s">
        <v>24</v>
      </c>
      <c r="C24" s="37"/>
      <c r="D24" s="37"/>
      <c r="E24" s="37"/>
      <c r="F24" s="38"/>
    </row>
    <row r="25" spans="2:6" x14ac:dyDescent="0.3">
      <c r="B25" s="39" t="s">
        <v>25</v>
      </c>
      <c r="C25" s="35"/>
      <c r="D25" s="39" t="s">
        <v>26</v>
      </c>
      <c r="E25" s="35"/>
      <c r="F25" s="20" t="s">
        <v>21</v>
      </c>
    </row>
    <row r="26" spans="2:6" x14ac:dyDescent="0.3">
      <c r="B26" s="56" t="s">
        <v>53</v>
      </c>
      <c r="C26" s="13"/>
      <c r="D26" s="56" t="s">
        <v>54</v>
      </c>
      <c r="E26" s="13"/>
      <c r="F26" s="24">
        <f>D21</f>
        <v>20000000</v>
      </c>
    </row>
    <row r="27" spans="2:6" x14ac:dyDescent="0.3">
      <c r="B27" s="21" t="s">
        <v>23</v>
      </c>
      <c r="C27" s="22"/>
      <c r="D27" s="21"/>
      <c r="E27" s="22"/>
      <c r="F27" s="27">
        <f>+SUM(F26)</f>
        <v>20000000</v>
      </c>
    </row>
    <row r="29" spans="2:6" x14ac:dyDescent="0.3">
      <c r="B29" t="s">
        <v>27</v>
      </c>
      <c r="C29" t="s">
        <v>39</v>
      </c>
    </row>
    <row r="30" spans="2:6" x14ac:dyDescent="0.3">
      <c r="B30" t="s">
        <v>28</v>
      </c>
      <c r="C30" s="29">
        <f>F27</f>
        <v>20000000</v>
      </c>
    </row>
    <row r="31" spans="2:6" x14ac:dyDescent="0.3">
      <c r="B31" t="s">
        <v>29</v>
      </c>
      <c r="C31" t="s">
        <v>44</v>
      </c>
    </row>
    <row r="32" spans="2:6" x14ac:dyDescent="0.3">
      <c r="B32" t="s">
        <v>30</v>
      </c>
    </row>
    <row r="33" spans="2:5" x14ac:dyDescent="0.3">
      <c r="B33" t="s">
        <v>31</v>
      </c>
    </row>
    <row r="38" spans="2:5" x14ac:dyDescent="0.3">
      <c r="B38" t="s">
        <v>36</v>
      </c>
      <c r="E38" t="s">
        <v>37</v>
      </c>
    </row>
  </sheetData>
  <mergeCells count="17">
    <mergeCell ref="E9:E11"/>
    <mergeCell ref="F9:F11"/>
    <mergeCell ref="E20:F20"/>
    <mergeCell ref="B24:F24"/>
    <mergeCell ref="B25:C25"/>
    <mergeCell ref="D25:E25"/>
    <mergeCell ref="B13:F13"/>
    <mergeCell ref="B14:C14"/>
    <mergeCell ref="E14:F14"/>
    <mergeCell ref="D15:D17"/>
    <mergeCell ref="E15:F17"/>
    <mergeCell ref="B19:F19"/>
    <mergeCell ref="E3:F3"/>
    <mergeCell ref="E4:F4"/>
    <mergeCell ref="E5:F5"/>
    <mergeCell ref="B7:D7"/>
    <mergeCell ref="E7:F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CF0D-B89C-441F-8D7A-0C90F424E489}">
  <dimension ref="B2:F37"/>
  <sheetViews>
    <sheetView showGridLines="0" zoomScaleNormal="100" workbookViewId="0">
      <selection activeCell="C10" sqref="C10"/>
    </sheetView>
  </sheetViews>
  <sheetFormatPr baseColWidth="10" defaultRowHeight="14.4" x14ac:dyDescent="0.3"/>
  <cols>
    <col min="2" max="2" width="30.6640625" customWidth="1"/>
    <col min="3" max="3" width="11" customWidth="1"/>
    <col min="4" max="4" width="41" customWidth="1"/>
    <col min="5" max="5" width="15.44140625" bestFit="1" customWidth="1"/>
    <col min="6" max="6" width="14.5546875" bestFit="1" customWidth="1"/>
  </cols>
  <sheetData>
    <row r="2" spans="2:6" x14ac:dyDescent="0.3">
      <c r="B2" s="8" t="s">
        <v>0</v>
      </c>
      <c r="C2" s="7"/>
      <c r="D2" s="1" t="s">
        <v>0</v>
      </c>
      <c r="E2" s="53">
        <f ca="1">TODAY()</f>
        <v>46303</v>
      </c>
      <c r="F2" s="53"/>
    </row>
    <row r="3" spans="2:6" x14ac:dyDescent="0.3">
      <c r="B3" s="9" t="s">
        <v>1</v>
      </c>
      <c r="C3" s="6"/>
      <c r="D3" s="4" t="s">
        <v>3</v>
      </c>
      <c r="E3" s="54" t="str">
        <f ca="1">TEXT(NOW(),"HH:MM")</f>
        <v>09:53</v>
      </c>
      <c r="F3" s="54"/>
    </row>
    <row r="4" spans="2:6" x14ac:dyDescent="0.3">
      <c r="B4" s="9"/>
      <c r="C4" s="6"/>
      <c r="D4" s="5" t="s">
        <v>2</v>
      </c>
      <c r="E4" s="54"/>
      <c r="F4" s="54"/>
    </row>
    <row r="6" spans="2:6" x14ac:dyDescent="0.3">
      <c r="B6" s="31" t="s">
        <v>4</v>
      </c>
      <c r="C6" s="32"/>
      <c r="D6" s="33"/>
      <c r="E6" s="31" t="s">
        <v>5</v>
      </c>
      <c r="F6" s="33"/>
    </row>
    <row r="7" spans="2:6" x14ac:dyDescent="0.3">
      <c r="B7" s="10" t="s">
        <v>12</v>
      </c>
      <c r="C7" t="s">
        <v>51</v>
      </c>
      <c r="D7" s="2"/>
      <c r="E7" s="25" t="s">
        <v>6</v>
      </c>
      <c r="F7" s="3" t="s">
        <v>7</v>
      </c>
    </row>
    <row r="8" spans="2:6" x14ac:dyDescent="0.3">
      <c r="B8" s="10" t="s">
        <v>13</v>
      </c>
      <c r="C8" t="s">
        <v>47</v>
      </c>
      <c r="D8" s="2"/>
      <c r="E8" s="49" t="s">
        <v>49</v>
      </c>
      <c r="F8" s="52">
        <f ca="1">+TODAY()</f>
        <v>46303</v>
      </c>
    </row>
    <row r="9" spans="2:6" x14ac:dyDescent="0.3">
      <c r="B9" s="10" t="s">
        <v>14</v>
      </c>
      <c r="C9" t="s">
        <v>52</v>
      </c>
      <c r="D9" s="2"/>
      <c r="E9" s="50"/>
      <c r="F9" s="43"/>
    </row>
    <row r="10" spans="2:6" x14ac:dyDescent="0.3">
      <c r="B10" s="11" t="s">
        <v>32</v>
      </c>
      <c r="C10" s="12" t="s">
        <v>48</v>
      </c>
      <c r="D10" s="14"/>
      <c r="E10" s="51"/>
      <c r="F10" s="44"/>
    </row>
    <row r="12" spans="2:6" x14ac:dyDescent="0.3">
      <c r="B12" s="36" t="s">
        <v>8</v>
      </c>
      <c r="C12" s="37"/>
      <c r="D12" s="37"/>
      <c r="E12" s="37"/>
      <c r="F12" s="38"/>
    </row>
    <row r="13" spans="2:6" x14ac:dyDescent="0.3">
      <c r="B13" s="40" t="s">
        <v>9</v>
      </c>
      <c r="C13" s="41"/>
      <c r="D13" s="15" t="s">
        <v>10</v>
      </c>
      <c r="E13" s="42" t="s">
        <v>11</v>
      </c>
      <c r="F13" s="41"/>
    </row>
    <row r="14" spans="2:6" x14ac:dyDescent="0.3">
      <c r="B14" s="10" t="s">
        <v>15</v>
      </c>
      <c r="C14" s="2"/>
      <c r="D14" s="43" t="s">
        <v>34</v>
      </c>
      <c r="E14" s="45" t="s">
        <v>35</v>
      </c>
      <c r="F14" s="46"/>
    </row>
    <row r="15" spans="2:6" x14ac:dyDescent="0.3">
      <c r="B15" s="10" t="s">
        <v>16</v>
      </c>
      <c r="C15" s="2"/>
      <c r="D15" s="43"/>
      <c r="E15" s="45"/>
      <c r="F15" s="46"/>
    </row>
    <row r="16" spans="2:6" x14ac:dyDescent="0.3">
      <c r="B16" s="11" t="s">
        <v>17</v>
      </c>
      <c r="C16" s="14"/>
      <c r="D16" s="44"/>
      <c r="E16" s="47"/>
      <c r="F16" s="48"/>
    </row>
    <row r="18" spans="2:6" x14ac:dyDescent="0.3">
      <c r="B18" s="36" t="s">
        <v>18</v>
      </c>
      <c r="C18" s="37"/>
      <c r="D18" s="37"/>
      <c r="E18" s="37"/>
      <c r="F18" s="38"/>
    </row>
    <row r="19" spans="2:6" x14ac:dyDescent="0.3">
      <c r="B19" s="18" t="s">
        <v>19</v>
      </c>
      <c r="C19" s="18" t="s">
        <v>20</v>
      </c>
      <c r="D19" s="15" t="s">
        <v>21</v>
      </c>
      <c r="E19" s="34" t="s">
        <v>22</v>
      </c>
      <c r="F19" s="35"/>
    </row>
    <row r="20" spans="2:6" x14ac:dyDescent="0.3">
      <c r="B20" s="19" t="s">
        <v>33</v>
      </c>
      <c r="C20" s="23">
        <f ca="1">TODAY()</f>
        <v>46303</v>
      </c>
      <c r="D20" s="28">
        <v>20000000</v>
      </c>
      <c r="E20" s="26" t="s">
        <v>50</v>
      </c>
      <c r="F20" s="5"/>
    </row>
    <row r="21" spans="2:6" x14ac:dyDescent="0.3">
      <c r="B21" s="16" t="s">
        <v>23</v>
      </c>
      <c r="C21" s="17"/>
      <c r="D21" s="17"/>
      <c r="E21" s="17"/>
      <c r="F21" s="17"/>
    </row>
    <row r="23" spans="2:6" x14ac:dyDescent="0.3">
      <c r="B23" s="36" t="s">
        <v>24</v>
      </c>
      <c r="C23" s="37"/>
      <c r="D23" s="37"/>
      <c r="E23" s="37"/>
      <c r="F23" s="38"/>
    </row>
    <row r="24" spans="2:6" x14ac:dyDescent="0.3">
      <c r="B24" s="39" t="s">
        <v>25</v>
      </c>
      <c r="C24" s="35"/>
      <c r="D24" s="39" t="s">
        <v>26</v>
      </c>
      <c r="E24" s="35"/>
      <c r="F24" s="20" t="s">
        <v>21</v>
      </c>
    </row>
    <row r="25" spans="2:6" x14ac:dyDescent="0.3">
      <c r="B25" s="30" t="s">
        <v>43</v>
      </c>
      <c r="C25" s="13"/>
      <c r="D25" s="30" t="s">
        <v>46</v>
      </c>
      <c r="E25" s="13"/>
      <c r="F25" s="24">
        <f>D20</f>
        <v>20000000</v>
      </c>
    </row>
    <row r="26" spans="2:6" x14ac:dyDescent="0.3">
      <c r="B26" s="21" t="s">
        <v>23</v>
      </c>
      <c r="C26" s="22"/>
      <c r="D26" s="21"/>
      <c r="E26" s="22"/>
      <c r="F26" s="27">
        <f>+SUM(F25)</f>
        <v>20000000</v>
      </c>
    </row>
    <row r="28" spans="2:6" x14ac:dyDescent="0.3">
      <c r="B28" t="s">
        <v>27</v>
      </c>
      <c r="C28" t="s">
        <v>39</v>
      </c>
    </row>
    <row r="29" spans="2:6" x14ac:dyDescent="0.3">
      <c r="B29" t="s">
        <v>28</v>
      </c>
      <c r="C29" s="29">
        <f>F26</f>
        <v>20000000</v>
      </c>
    </row>
    <row r="30" spans="2:6" x14ac:dyDescent="0.3">
      <c r="B30" t="s">
        <v>29</v>
      </c>
      <c r="C30" t="s">
        <v>44</v>
      </c>
    </row>
    <row r="31" spans="2:6" x14ac:dyDescent="0.3">
      <c r="B31" t="s">
        <v>30</v>
      </c>
    </row>
    <row r="32" spans="2:6" x14ac:dyDescent="0.3">
      <c r="B32" t="s">
        <v>31</v>
      </c>
    </row>
    <row r="37" spans="2:5" x14ac:dyDescent="0.3">
      <c r="B37" t="s">
        <v>36</v>
      </c>
      <c r="E37" t="s">
        <v>37</v>
      </c>
    </row>
  </sheetData>
  <mergeCells count="17">
    <mergeCell ref="E2:F2"/>
    <mergeCell ref="E3:F3"/>
    <mergeCell ref="E4:F4"/>
    <mergeCell ref="B6:D6"/>
    <mergeCell ref="E6:F6"/>
    <mergeCell ref="E19:F19"/>
    <mergeCell ref="B23:F23"/>
    <mergeCell ref="B24:C24"/>
    <mergeCell ref="D24:E24"/>
    <mergeCell ref="B12:F12"/>
    <mergeCell ref="B13:C13"/>
    <mergeCell ref="E13:F13"/>
    <mergeCell ref="D14:D16"/>
    <mergeCell ref="E14:F16"/>
    <mergeCell ref="B18:F18"/>
    <mergeCell ref="E8:E10"/>
    <mergeCell ref="F8:F10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SCAN N°1-CAMP-2627</vt:lpstr>
      <vt:lpstr>COOPRABLOS N°1-CAMP-2627</vt:lpstr>
      <vt:lpstr>'COOPRABLOS N°1-CAMP-2627'!Zone_d_impression</vt:lpstr>
      <vt:lpstr>'SCAN N°1-CAMP-2627'!Zone_d_impression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tete | Ecorigine</dc:creator>
  <cp:lastModifiedBy>Serge Amouzoun | Ecorigine</cp:lastModifiedBy>
  <cp:lastPrinted>2026-10-08T09:53:33Z</cp:lastPrinted>
  <dcterms:created xsi:type="dcterms:W3CDTF">2024-10-14T15:26:06Z</dcterms:created>
  <dcterms:modified xsi:type="dcterms:W3CDTF">2026-10-08T09:53:38Z</dcterms:modified>
</cp:coreProperties>
</file>